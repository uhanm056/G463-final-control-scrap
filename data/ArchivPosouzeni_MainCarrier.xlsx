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cz3250vm0001\Public$\Quality\01_Projekty\Daimler ( Magna ) G463_G Class\archiv dokumentů\"/>
    </mc:Choice>
  </mc:AlternateContent>
  <xr:revisionPtr revIDLastSave="0" documentId="13_ncr:1_{483981DD-4AA2-46D5-AB32-6FFD2FE76694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Posouzení PREFIX" sheetId="1" r:id="rId1"/>
    <sheet name="Posouzení SKLAD" sheetId="2" r:id="rId2"/>
    <sheet name="Sklad - na rework" sheetId="3" r:id="rId3"/>
    <sheet name="Pareto PREFIX" sheetId="4" r:id="rId4"/>
    <sheet name="Pareto SKLA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X146" i="2" l="1"/>
  <c r="AY146" i="2"/>
  <c r="AY168" i="1"/>
  <c r="AX145" i="2"/>
  <c r="AY145" i="2"/>
  <c r="AX131" i="2"/>
  <c r="AY131" i="2"/>
  <c r="AX130" i="2"/>
  <c r="AY130" i="2"/>
  <c r="AY167" i="1"/>
  <c r="AX167" i="1"/>
  <c r="AY166" i="1"/>
  <c r="AX166" i="1"/>
  <c r="AY165" i="1"/>
  <c r="AX165" i="1"/>
  <c r="AY164" i="1"/>
  <c r="AX164" i="1"/>
  <c r="AY163" i="1"/>
  <c r="AX163" i="1"/>
  <c r="AY162" i="1"/>
  <c r="AX162" i="1"/>
  <c r="AY161" i="1"/>
  <c r="AX161" i="1"/>
  <c r="AY160" i="1"/>
  <c r="AX160" i="1"/>
  <c r="C37" i="5"/>
  <c r="O37" i="5" s="1"/>
  <c r="C36" i="5"/>
  <c r="O36" i="5" s="1"/>
  <c r="C35" i="5"/>
  <c r="O35" i="5" s="1"/>
  <c r="C34" i="5"/>
  <c r="C33" i="5"/>
  <c r="C32" i="5"/>
  <c r="O32" i="5" s="1"/>
  <c r="C31" i="5"/>
  <c r="O31" i="5" s="1"/>
  <c r="C30" i="5"/>
  <c r="O30" i="5" s="1"/>
  <c r="C29" i="5"/>
  <c r="O29" i="5" s="1"/>
  <c r="C28" i="5"/>
  <c r="O28" i="5" s="1"/>
  <c r="C27" i="5"/>
  <c r="C26" i="5"/>
  <c r="O26" i="5" s="1"/>
  <c r="C25" i="5"/>
  <c r="O25" i="5" s="1"/>
  <c r="C24" i="5"/>
  <c r="O24" i="5" s="1"/>
  <c r="C23" i="5"/>
  <c r="O23" i="5" s="1"/>
  <c r="C22" i="5"/>
  <c r="O22" i="5" s="1"/>
  <c r="C21" i="5"/>
  <c r="C20" i="5"/>
  <c r="O20" i="5" s="1"/>
  <c r="C19" i="5"/>
  <c r="O19" i="5" s="1"/>
  <c r="C18" i="5"/>
  <c r="O18" i="5" s="1"/>
  <c r="C17" i="5"/>
  <c r="O17" i="5" s="1"/>
  <c r="C16" i="5"/>
  <c r="O16" i="5" s="1"/>
  <c r="C15" i="5"/>
  <c r="C14" i="5"/>
  <c r="O14" i="5" s="1"/>
  <c r="C13" i="5"/>
  <c r="O13" i="5" s="1"/>
  <c r="C12" i="5"/>
  <c r="O12" i="5" s="1"/>
  <c r="C11" i="5"/>
  <c r="O11" i="5" s="1"/>
  <c r="C10" i="5"/>
  <c r="C9" i="5"/>
  <c r="C8" i="5"/>
  <c r="O8" i="5" s="1"/>
  <c r="C7" i="5"/>
  <c r="O7" i="5" s="1"/>
  <c r="C41" i="4"/>
  <c r="O41" i="4" s="1"/>
  <c r="C40" i="4"/>
  <c r="C39" i="4"/>
  <c r="O39" i="4" s="1"/>
  <c r="C38" i="4"/>
  <c r="O38" i="4" s="1"/>
  <c r="C37" i="4"/>
  <c r="C36" i="4"/>
  <c r="O36" i="4" s="1"/>
  <c r="C35" i="4"/>
  <c r="O35" i="4" s="1"/>
  <c r="C34" i="4"/>
  <c r="C33" i="4"/>
  <c r="O33" i="4" s="1"/>
  <c r="C32" i="4"/>
  <c r="O32" i="4" s="1"/>
  <c r="C31" i="4"/>
  <c r="C30" i="4"/>
  <c r="C29" i="4"/>
  <c r="O29" i="4" s="1"/>
  <c r="C28" i="4"/>
  <c r="C27" i="4"/>
  <c r="O27" i="4" s="1"/>
  <c r="C26" i="4"/>
  <c r="O26" i="4" s="1"/>
  <c r="C25" i="4"/>
  <c r="C24" i="4"/>
  <c r="O24" i="4" s="1"/>
  <c r="C23" i="4"/>
  <c r="O23" i="4" s="1"/>
  <c r="C22" i="4"/>
  <c r="C21" i="4"/>
  <c r="O21" i="4" s="1"/>
  <c r="C20" i="4"/>
  <c r="O20" i="4" s="1"/>
  <c r="C19" i="4"/>
  <c r="C18" i="4"/>
  <c r="O18" i="4" s="1"/>
  <c r="C17" i="4"/>
  <c r="O17" i="4" s="1"/>
  <c r="C16" i="4"/>
  <c r="C15" i="4"/>
  <c r="O15" i="4" s="1"/>
  <c r="C14" i="4"/>
  <c r="O14" i="4" s="1"/>
  <c r="C13" i="4"/>
  <c r="C12" i="4"/>
  <c r="O12" i="4" s="1"/>
  <c r="C11" i="4"/>
  <c r="O11" i="4" s="1"/>
  <c r="C10" i="4"/>
  <c r="C9" i="4"/>
  <c r="O9" i="4" s="1"/>
  <c r="C8" i="4"/>
  <c r="O8" i="4" s="1"/>
  <c r="C7" i="4"/>
  <c r="AY205" i="2"/>
  <c r="AX205" i="2"/>
  <c r="AY204" i="2"/>
  <c r="AX204" i="2"/>
  <c r="AY203" i="2"/>
  <c r="AX203" i="2"/>
  <c r="AY202" i="2"/>
  <c r="AX202" i="2"/>
  <c r="AY201" i="2"/>
  <c r="AX201" i="2"/>
  <c r="AY200" i="2"/>
  <c r="AX200" i="2"/>
  <c r="AY199" i="2"/>
  <c r="AX199" i="2"/>
  <c r="AY198" i="2"/>
  <c r="AX198" i="2"/>
  <c r="AY197" i="2"/>
  <c r="AX197" i="2"/>
  <c r="AY196" i="2"/>
  <c r="AX196" i="2"/>
  <c r="AY195" i="2"/>
  <c r="AX195" i="2"/>
  <c r="AY194" i="2"/>
  <c r="AX194" i="2"/>
  <c r="AY193" i="2"/>
  <c r="AX193" i="2"/>
  <c r="AY192" i="2"/>
  <c r="AX192" i="2"/>
  <c r="AY191" i="2"/>
  <c r="AX191" i="2"/>
  <c r="AY190" i="2"/>
  <c r="AX190" i="2"/>
  <c r="AY189" i="2"/>
  <c r="AX189" i="2"/>
  <c r="AY188" i="2"/>
  <c r="AX188" i="2"/>
  <c r="AY187" i="2"/>
  <c r="AX187" i="2"/>
  <c r="AY186" i="2"/>
  <c r="AX186" i="2"/>
  <c r="AY185" i="2"/>
  <c r="AX185" i="2"/>
  <c r="AY184" i="2"/>
  <c r="AX184" i="2"/>
  <c r="AY183" i="2"/>
  <c r="AX183" i="2"/>
  <c r="AY182" i="2"/>
  <c r="AX182" i="2"/>
  <c r="AY181" i="2"/>
  <c r="AX181" i="2"/>
  <c r="AY180" i="2"/>
  <c r="AX180" i="2"/>
  <c r="AY179" i="2"/>
  <c r="AX179" i="2"/>
  <c r="AY178" i="2"/>
  <c r="AX178" i="2"/>
  <c r="AY177" i="2"/>
  <c r="AX177" i="2"/>
  <c r="AY176" i="2"/>
  <c r="AX176" i="2"/>
  <c r="AY175" i="2"/>
  <c r="AX175" i="2"/>
  <c r="AY174" i="2"/>
  <c r="AX174" i="2"/>
  <c r="AY173" i="2"/>
  <c r="AX173" i="2"/>
  <c r="AY172" i="2"/>
  <c r="AX172" i="2"/>
  <c r="AY171" i="2"/>
  <c r="AX171" i="2"/>
  <c r="AY170" i="2"/>
  <c r="AX170" i="2"/>
  <c r="AY169" i="2"/>
  <c r="AX169" i="2"/>
  <c r="AY168" i="2"/>
  <c r="AX168" i="2"/>
  <c r="AY167" i="2"/>
  <c r="AX167" i="2"/>
  <c r="AY166" i="2"/>
  <c r="AX166" i="2"/>
  <c r="AY165" i="2"/>
  <c r="AX165" i="2"/>
  <c r="AY164" i="2"/>
  <c r="AX164" i="2"/>
  <c r="AY163" i="2"/>
  <c r="AX163" i="2"/>
  <c r="AY162" i="2"/>
  <c r="AX162" i="2"/>
  <c r="AY161" i="2"/>
  <c r="AX161" i="2"/>
  <c r="AY160" i="2"/>
  <c r="AX160" i="2"/>
  <c r="AY159" i="2"/>
  <c r="AX159" i="2"/>
  <c r="AY158" i="2"/>
  <c r="AX158" i="2"/>
  <c r="AY157" i="2"/>
  <c r="AX157" i="2"/>
  <c r="AY156" i="2"/>
  <c r="AX156" i="2"/>
  <c r="AY155" i="2"/>
  <c r="AX155" i="2"/>
  <c r="AY154" i="2"/>
  <c r="AX154" i="2"/>
  <c r="AY153" i="2"/>
  <c r="AX153" i="2"/>
  <c r="AY152" i="2"/>
  <c r="AX152" i="2"/>
  <c r="AY151" i="2"/>
  <c r="AX151" i="2"/>
  <c r="AY150" i="2"/>
  <c r="AX150" i="2"/>
  <c r="AY149" i="2"/>
  <c r="AX149" i="2"/>
  <c r="AY148" i="2"/>
  <c r="AX148" i="2"/>
  <c r="AY144" i="2"/>
  <c r="AX144" i="2"/>
  <c r="AY143" i="2"/>
  <c r="AX143" i="2"/>
  <c r="AY142" i="2"/>
  <c r="AX142" i="2"/>
  <c r="AY141" i="2"/>
  <c r="AX141" i="2"/>
  <c r="AY140" i="2"/>
  <c r="AX140" i="2"/>
  <c r="AY139" i="2"/>
  <c r="AX139" i="2"/>
  <c r="AY138" i="2"/>
  <c r="AX138" i="2"/>
  <c r="AY129" i="2"/>
  <c r="AX129" i="2"/>
  <c r="AY128" i="2"/>
  <c r="AX128" i="2"/>
  <c r="AY127" i="2"/>
  <c r="AX127" i="2"/>
  <c r="AY126" i="2"/>
  <c r="AX126" i="2"/>
  <c r="AY125" i="2"/>
  <c r="AX125" i="2"/>
  <c r="AY124" i="2"/>
  <c r="AX124" i="2"/>
  <c r="AY123" i="2"/>
  <c r="AX123" i="2"/>
  <c r="AY122" i="2"/>
  <c r="AX122" i="2"/>
  <c r="AY121" i="2"/>
  <c r="AX121" i="2"/>
  <c r="AY120" i="2"/>
  <c r="AX120" i="2"/>
  <c r="AY119" i="2"/>
  <c r="AX119" i="2"/>
  <c r="AY118" i="2"/>
  <c r="AX118" i="2"/>
  <c r="AY117" i="2"/>
  <c r="AX117" i="2"/>
  <c r="AY116" i="2"/>
  <c r="AX116" i="2"/>
  <c r="AY115" i="2"/>
  <c r="AX115" i="2"/>
  <c r="AY114" i="2"/>
  <c r="AX114" i="2"/>
  <c r="AY113" i="2"/>
  <c r="AX113" i="2"/>
  <c r="AY112" i="2"/>
  <c r="AX112" i="2"/>
  <c r="AY111" i="2"/>
  <c r="AX111" i="2"/>
  <c r="AY110" i="2"/>
  <c r="AX110" i="2"/>
  <c r="AY109" i="2"/>
  <c r="AX109" i="2"/>
  <c r="AY108" i="2"/>
  <c r="AX108" i="2"/>
  <c r="AY107" i="2"/>
  <c r="AX107" i="2"/>
  <c r="AY106" i="2"/>
  <c r="AX106" i="2"/>
  <c r="AY105" i="2"/>
  <c r="AX105" i="2"/>
  <c r="AY104" i="2"/>
  <c r="AX104" i="2"/>
  <c r="AY103" i="2"/>
  <c r="AX103" i="2"/>
  <c r="AY102" i="2"/>
  <c r="AX102" i="2"/>
  <c r="AY101" i="2"/>
  <c r="AX101" i="2"/>
  <c r="AY100" i="2"/>
  <c r="AX100" i="2"/>
  <c r="AY99" i="2"/>
  <c r="AX99" i="2"/>
  <c r="AY98" i="2"/>
  <c r="AX98" i="2"/>
  <c r="AY97" i="2"/>
  <c r="AX97" i="2"/>
  <c r="AY96" i="2"/>
  <c r="AX96" i="2"/>
  <c r="AY95" i="2"/>
  <c r="AX95" i="2"/>
  <c r="AY94" i="2"/>
  <c r="AX94" i="2"/>
  <c r="AY93" i="2"/>
  <c r="AX93" i="2"/>
  <c r="AY92" i="2"/>
  <c r="AX92" i="2"/>
  <c r="AY91" i="2"/>
  <c r="AX91" i="2"/>
  <c r="AY90" i="2"/>
  <c r="AX90" i="2"/>
  <c r="AY89" i="2"/>
  <c r="AX89" i="2"/>
  <c r="AY88" i="2"/>
  <c r="AX88" i="2"/>
  <c r="AY87" i="2"/>
  <c r="AX87" i="2"/>
  <c r="AY86" i="2"/>
  <c r="AX86" i="2"/>
  <c r="AY85" i="2"/>
  <c r="AX85" i="2"/>
  <c r="AY84" i="2"/>
  <c r="AX84" i="2"/>
  <c r="AY83" i="2"/>
  <c r="AX83" i="2"/>
  <c r="AY82" i="2"/>
  <c r="AX82" i="2"/>
  <c r="AY81" i="2"/>
  <c r="AX81" i="2"/>
  <c r="AY80" i="2"/>
  <c r="AX80" i="2"/>
  <c r="AY79" i="2"/>
  <c r="AX79" i="2"/>
  <c r="AY78" i="2"/>
  <c r="AX78" i="2"/>
  <c r="AY77" i="2"/>
  <c r="AX77" i="2"/>
  <c r="AY76" i="2"/>
  <c r="AX76" i="2"/>
  <c r="AY75" i="2"/>
  <c r="AX75" i="2"/>
  <c r="AY74" i="2"/>
  <c r="AX74" i="2"/>
  <c r="AY73" i="2"/>
  <c r="AX73" i="2"/>
  <c r="AY72" i="2"/>
  <c r="AX72" i="2"/>
  <c r="AY71" i="2"/>
  <c r="AX71" i="2"/>
  <c r="AY70" i="2"/>
  <c r="AX70" i="2"/>
  <c r="AY69" i="2"/>
  <c r="AX69" i="2"/>
  <c r="AY68" i="2"/>
  <c r="AX68" i="2"/>
  <c r="AY67" i="2"/>
  <c r="AX67" i="2"/>
  <c r="AY66" i="2"/>
  <c r="AX66" i="2"/>
  <c r="AY65" i="2"/>
  <c r="AX65" i="2"/>
  <c r="AY64" i="2"/>
  <c r="AX64" i="2"/>
  <c r="AY63" i="2"/>
  <c r="AX63" i="2"/>
  <c r="AY62" i="2"/>
  <c r="AX62" i="2"/>
  <c r="AY61" i="2"/>
  <c r="AX61" i="2"/>
  <c r="AY60" i="2"/>
  <c r="AX60" i="2"/>
  <c r="AY59" i="2"/>
  <c r="AX59" i="2"/>
  <c r="AY58" i="2"/>
  <c r="AX58" i="2"/>
  <c r="AY57" i="2"/>
  <c r="AX57" i="2"/>
  <c r="AY56" i="2"/>
  <c r="AX56" i="2"/>
  <c r="AY55" i="2"/>
  <c r="AX55" i="2"/>
  <c r="AY54" i="2"/>
  <c r="AX54" i="2"/>
  <c r="AY53" i="2"/>
  <c r="AX53" i="2"/>
  <c r="AY52" i="2"/>
  <c r="AX52" i="2"/>
  <c r="AY51" i="2"/>
  <c r="AX51" i="2"/>
  <c r="AY50" i="2"/>
  <c r="AX50" i="2"/>
  <c r="AY49" i="2"/>
  <c r="AX49" i="2"/>
  <c r="AY48" i="2"/>
  <c r="AX48" i="2"/>
  <c r="AY47" i="2"/>
  <c r="AX47" i="2"/>
  <c r="AY46" i="2"/>
  <c r="AX46" i="2"/>
  <c r="AY45" i="2"/>
  <c r="AX45" i="2"/>
  <c r="AY44" i="2"/>
  <c r="AX44" i="2"/>
  <c r="AY43" i="2"/>
  <c r="AX43" i="2"/>
  <c r="AY42" i="2"/>
  <c r="AX42" i="2"/>
  <c r="AY41" i="2"/>
  <c r="AX41" i="2"/>
  <c r="AY40" i="2"/>
  <c r="AX40" i="2"/>
  <c r="AY39" i="2"/>
  <c r="AX39" i="2"/>
  <c r="AY38" i="2"/>
  <c r="AX38" i="2"/>
  <c r="AY37" i="2"/>
  <c r="AX37" i="2"/>
  <c r="AY36" i="2"/>
  <c r="AX36" i="2"/>
  <c r="AY35" i="2"/>
  <c r="AX35" i="2"/>
  <c r="AY34" i="2"/>
  <c r="AX34" i="2"/>
  <c r="AY33" i="2"/>
  <c r="AX33" i="2"/>
  <c r="AY32" i="2"/>
  <c r="AX32" i="2"/>
  <c r="AY31" i="2"/>
  <c r="AX31" i="2"/>
  <c r="AY30" i="2"/>
  <c r="AX30" i="2"/>
  <c r="AY29" i="2"/>
  <c r="AX29" i="2"/>
  <c r="AY28" i="2"/>
  <c r="AX28" i="2"/>
  <c r="AY27" i="2"/>
  <c r="AX27" i="2"/>
  <c r="AY26" i="2"/>
  <c r="AX26" i="2"/>
  <c r="AY25" i="2"/>
  <c r="AX25" i="2"/>
  <c r="AY24" i="2"/>
  <c r="AX24" i="2"/>
  <c r="AY23" i="2"/>
  <c r="AX23" i="2"/>
  <c r="AY22" i="2"/>
  <c r="AX22" i="2"/>
  <c r="AY21" i="2"/>
  <c r="AX21" i="2"/>
  <c r="AY20" i="2"/>
  <c r="AX20" i="2"/>
  <c r="AY19" i="2"/>
  <c r="AX19" i="2"/>
  <c r="AY18" i="2"/>
  <c r="AX18" i="2"/>
  <c r="AY17" i="2"/>
  <c r="AX17" i="2"/>
  <c r="AY16" i="2"/>
  <c r="AX16" i="2"/>
  <c r="AY15" i="2"/>
  <c r="AX15" i="2"/>
  <c r="AY14" i="2"/>
  <c r="AX14" i="2"/>
  <c r="AY13" i="2"/>
  <c r="AX13" i="2"/>
  <c r="AY12" i="2"/>
  <c r="AX12" i="2"/>
  <c r="AY11" i="2"/>
  <c r="AX11" i="2"/>
  <c r="AY10" i="2"/>
  <c r="AX10" i="2"/>
  <c r="AY9" i="2"/>
  <c r="AX9" i="2"/>
  <c r="AY8" i="2"/>
  <c r="AX8" i="2"/>
  <c r="AY7" i="2"/>
  <c r="AX7" i="2"/>
  <c r="AY6" i="2"/>
  <c r="AX6" i="2"/>
  <c r="AX205" i="1"/>
  <c r="AW205" i="1"/>
  <c r="AX204" i="1"/>
  <c r="AW204" i="1"/>
  <c r="AX203" i="1"/>
  <c r="AW203" i="1"/>
  <c r="AX202" i="1"/>
  <c r="AW202" i="1"/>
  <c r="AX201" i="1"/>
  <c r="AW201" i="1"/>
  <c r="AX200" i="1"/>
  <c r="AW200" i="1"/>
  <c r="AX199" i="1"/>
  <c r="AW199" i="1"/>
  <c r="AX198" i="1"/>
  <c r="AW198" i="1"/>
  <c r="AX197" i="1"/>
  <c r="AW197" i="1"/>
  <c r="AX196" i="1"/>
  <c r="AW196" i="1"/>
  <c r="AX195" i="1"/>
  <c r="AW195" i="1"/>
  <c r="AX194" i="1"/>
  <c r="AW194" i="1"/>
  <c r="AX193" i="1"/>
  <c r="AW193" i="1"/>
  <c r="AX192" i="1"/>
  <c r="AW192" i="1"/>
  <c r="AX191" i="1"/>
  <c r="AW191" i="1"/>
  <c r="AX190" i="1"/>
  <c r="AW190" i="1"/>
  <c r="AX189" i="1"/>
  <c r="AW189" i="1"/>
  <c r="AX188" i="1"/>
  <c r="AW188" i="1"/>
  <c r="AX187" i="1"/>
  <c r="AW187" i="1"/>
  <c r="AX186" i="1"/>
  <c r="AW186" i="1"/>
  <c r="AX185" i="1"/>
  <c r="AW185" i="1"/>
  <c r="AX184" i="1"/>
  <c r="AW184" i="1"/>
  <c r="AX183" i="1"/>
  <c r="AW183" i="1"/>
  <c r="AX182" i="1"/>
  <c r="AW182" i="1"/>
  <c r="AX181" i="1"/>
  <c r="AW181" i="1"/>
  <c r="AX180" i="1"/>
  <c r="AW180" i="1"/>
  <c r="AX179" i="1"/>
  <c r="AW179" i="1"/>
  <c r="AX178" i="1"/>
  <c r="AW178" i="1"/>
  <c r="AX177" i="1"/>
  <c r="AW177" i="1"/>
  <c r="AX176" i="1"/>
  <c r="AW176" i="1"/>
  <c r="AX175" i="1"/>
  <c r="AW175" i="1"/>
  <c r="AX174" i="1"/>
  <c r="AW174" i="1"/>
  <c r="AX173" i="1"/>
  <c r="AW173" i="1"/>
  <c r="AX172" i="1"/>
  <c r="AW172" i="1"/>
  <c r="AX171" i="1"/>
  <c r="AW171" i="1"/>
  <c r="AX170" i="1"/>
  <c r="AW170" i="1"/>
  <c r="AX169" i="1"/>
  <c r="AW169" i="1"/>
  <c r="AX168" i="1"/>
  <c r="AW168" i="1"/>
  <c r="AX159" i="1"/>
  <c r="AW159" i="1"/>
  <c r="AX158" i="1"/>
  <c r="AW158" i="1"/>
  <c r="AX157" i="1"/>
  <c r="AW157" i="1"/>
  <c r="AX156" i="1"/>
  <c r="AW156" i="1"/>
  <c r="AX155" i="1"/>
  <c r="AW155" i="1"/>
  <c r="AX154" i="1"/>
  <c r="AW154" i="1"/>
  <c r="AX153" i="1"/>
  <c r="AW153" i="1"/>
  <c r="AX152" i="1"/>
  <c r="AW152" i="1"/>
  <c r="AX151" i="1"/>
  <c r="AW151" i="1"/>
  <c r="AX150" i="1"/>
  <c r="AW150" i="1"/>
  <c r="AX149" i="1"/>
  <c r="AW149" i="1"/>
  <c r="AX148" i="1"/>
  <c r="AW148" i="1"/>
  <c r="AX147" i="1"/>
  <c r="AW147" i="1"/>
  <c r="AX146" i="1"/>
  <c r="AW146" i="1"/>
  <c r="AX145" i="1"/>
  <c r="AW145" i="1"/>
  <c r="AX144" i="1"/>
  <c r="AW144" i="1"/>
  <c r="AX143" i="1"/>
  <c r="AW143" i="1"/>
  <c r="AX142" i="1"/>
  <c r="AW142" i="1"/>
  <c r="AX141" i="1"/>
  <c r="AW141" i="1"/>
  <c r="AX140" i="1"/>
  <c r="AW140" i="1"/>
  <c r="AX139" i="1"/>
  <c r="AW139" i="1"/>
  <c r="AX138" i="1"/>
  <c r="AW138" i="1"/>
  <c r="AX137" i="1"/>
  <c r="AW137" i="1"/>
  <c r="AX136" i="1"/>
  <c r="AW136" i="1"/>
  <c r="AX135" i="1"/>
  <c r="AW135" i="1"/>
  <c r="AX134" i="1"/>
  <c r="AW134" i="1"/>
  <c r="AX133" i="1"/>
  <c r="AW133" i="1"/>
  <c r="AX132" i="1"/>
  <c r="AW132" i="1"/>
  <c r="AX131" i="1"/>
  <c r="AW131" i="1"/>
  <c r="AX130" i="1"/>
  <c r="AW130" i="1"/>
  <c r="AX129" i="1"/>
  <c r="AW129" i="1"/>
  <c r="AX128" i="1"/>
  <c r="AW128" i="1"/>
  <c r="AX127" i="1"/>
  <c r="AW127" i="1"/>
  <c r="AX126" i="1"/>
  <c r="AW126" i="1"/>
  <c r="AX125" i="1"/>
  <c r="AW125" i="1"/>
  <c r="AX124" i="1"/>
  <c r="AW124" i="1"/>
  <c r="AX123" i="1"/>
  <c r="AW123" i="1"/>
  <c r="AX122" i="1"/>
  <c r="AW122" i="1"/>
  <c r="AX121" i="1"/>
  <c r="AW121" i="1"/>
  <c r="AX120" i="1"/>
  <c r="AW120" i="1"/>
  <c r="AX119" i="1"/>
  <c r="AW119" i="1"/>
  <c r="AX118" i="1"/>
  <c r="AW118" i="1"/>
  <c r="AX117" i="1"/>
  <c r="AW117" i="1"/>
  <c r="AX116" i="1"/>
  <c r="AW116" i="1"/>
  <c r="AX115" i="1"/>
  <c r="AW115" i="1"/>
  <c r="AX114" i="1"/>
  <c r="AW114" i="1"/>
  <c r="AX113" i="1"/>
  <c r="AW113" i="1"/>
  <c r="AX112" i="1"/>
  <c r="AW112" i="1"/>
  <c r="AX111" i="1"/>
  <c r="AW111" i="1"/>
  <c r="AX110" i="1"/>
  <c r="AW110" i="1"/>
  <c r="AX109" i="1"/>
  <c r="AW109" i="1"/>
  <c r="AX108" i="1"/>
  <c r="AW108" i="1"/>
  <c r="AX107" i="1"/>
  <c r="AW107" i="1"/>
  <c r="AX106" i="1"/>
  <c r="AW106" i="1"/>
  <c r="AX105" i="1"/>
  <c r="AW105" i="1"/>
  <c r="AX104" i="1"/>
  <c r="AW104" i="1"/>
  <c r="AX103" i="1"/>
  <c r="AW103" i="1"/>
  <c r="AX102" i="1"/>
  <c r="AW102" i="1"/>
  <c r="AX101" i="1"/>
  <c r="AW101" i="1"/>
  <c r="AX100" i="1"/>
  <c r="AW100" i="1"/>
  <c r="AX99" i="1"/>
  <c r="AW99" i="1"/>
  <c r="AX98" i="1"/>
  <c r="AW98" i="1"/>
  <c r="AX97" i="1"/>
  <c r="AW97" i="1"/>
  <c r="AX96" i="1"/>
  <c r="AW96" i="1"/>
  <c r="AX95" i="1"/>
  <c r="AW95" i="1"/>
  <c r="AX94" i="1"/>
  <c r="AW94" i="1"/>
  <c r="AX93" i="1"/>
  <c r="AW93" i="1"/>
  <c r="AX92" i="1"/>
  <c r="AW92" i="1"/>
  <c r="AX91" i="1"/>
  <c r="AW91" i="1"/>
  <c r="AX90" i="1"/>
  <c r="AW90" i="1"/>
  <c r="AX89" i="1"/>
  <c r="AW89" i="1"/>
  <c r="AX88" i="1"/>
  <c r="AW88" i="1"/>
  <c r="AX87" i="1"/>
  <c r="AW87" i="1"/>
  <c r="AX86" i="1"/>
  <c r="AW86" i="1"/>
  <c r="AX85" i="1"/>
  <c r="AW85" i="1"/>
  <c r="AX84" i="1"/>
  <c r="AW84" i="1"/>
  <c r="AX83" i="1"/>
  <c r="AW83" i="1"/>
  <c r="AX82" i="1"/>
  <c r="AW82" i="1"/>
  <c r="AX81" i="1"/>
  <c r="AW81" i="1"/>
  <c r="AX80" i="1"/>
  <c r="AW80" i="1"/>
  <c r="AX79" i="1"/>
  <c r="AW79" i="1"/>
  <c r="AX78" i="1"/>
  <c r="AW78" i="1"/>
  <c r="AX77" i="1"/>
  <c r="AW77" i="1"/>
  <c r="AX76" i="1"/>
  <c r="AW76" i="1"/>
  <c r="AX75" i="1"/>
  <c r="AW75" i="1"/>
  <c r="AX74" i="1"/>
  <c r="AW74" i="1"/>
  <c r="AX73" i="1"/>
  <c r="AW73" i="1"/>
  <c r="AX72" i="1"/>
  <c r="AW72" i="1"/>
  <c r="AX71" i="1"/>
  <c r="AW71" i="1"/>
  <c r="AX70" i="1"/>
  <c r="AW70" i="1"/>
  <c r="AX69" i="1"/>
  <c r="AW69" i="1"/>
  <c r="AX68" i="1"/>
  <c r="AW68" i="1"/>
  <c r="AX67" i="1"/>
  <c r="AW67" i="1"/>
  <c r="AX66" i="1"/>
  <c r="AW66" i="1"/>
  <c r="AX65" i="1"/>
  <c r="AW65" i="1"/>
  <c r="AX64" i="1"/>
  <c r="AW64" i="1"/>
  <c r="AX63" i="1"/>
  <c r="AW63" i="1"/>
  <c r="AX62" i="1"/>
  <c r="AW62" i="1"/>
  <c r="AX61" i="1"/>
  <c r="AW61" i="1"/>
  <c r="AX60" i="1"/>
  <c r="AW60" i="1"/>
  <c r="AX59" i="1"/>
  <c r="AW59" i="1"/>
  <c r="AX58" i="1"/>
  <c r="AW58" i="1"/>
  <c r="AX57" i="1"/>
  <c r="AW57" i="1"/>
  <c r="AX56" i="1"/>
  <c r="AW56" i="1"/>
  <c r="AX55" i="1"/>
  <c r="AW55" i="1"/>
  <c r="AX54" i="1"/>
  <c r="AW54" i="1"/>
  <c r="AX53" i="1"/>
  <c r="AW53" i="1"/>
  <c r="AX52" i="1"/>
  <c r="AW52" i="1"/>
  <c r="AX51" i="1"/>
  <c r="AW51" i="1"/>
  <c r="AX50" i="1"/>
  <c r="AW50" i="1"/>
  <c r="AX49" i="1"/>
  <c r="AW49" i="1"/>
  <c r="AX48" i="1"/>
  <c r="AW48" i="1"/>
  <c r="AX47" i="1"/>
  <c r="AW47" i="1"/>
  <c r="AX46" i="1"/>
  <c r="AW46" i="1"/>
  <c r="AX45" i="1"/>
  <c r="AW45" i="1"/>
  <c r="AX44" i="1"/>
  <c r="AW44" i="1"/>
  <c r="AX43" i="1"/>
  <c r="AW43" i="1"/>
  <c r="AX42" i="1"/>
  <c r="AW42" i="1"/>
  <c r="AX41" i="1"/>
  <c r="AW41" i="1"/>
  <c r="AX40" i="1"/>
  <c r="AW40" i="1"/>
  <c r="AX39" i="1"/>
  <c r="AW39" i="1"/>
  <c r="AX38" i="1"/>
  <c r="AW38" i="1"/>
  <c r="AX37" i="1"/>
  <c r="AW37" i="1"/>
  <c r="AX36" i="1"/>
  <c r="AW36" i="1"/>
  <c r="AX35" i="1"/>
  <c r="AW35" i="1"/>
  <c r="AX34" i="1"/>
  <c r="AW34" i="1"/>
  <c r="AX33" i="1"/>
  <c r="AW33" i="1"/>
  <c r="AX32" i="1"/>
  <c r="AW32" i="1"/>
  <c r="AX31" i="1"/>
  <c r="AW31" i="1"/>
  <c r="AX30" i="1"/>
  <c r="AW30" i="1"/>
  <c r="AX29" i="1"/>
  <c r="AW29" i="1"/>
  <c r="AX28" i="1"/>
  <c r="AW28" i="1"/>
  <c r="AX27" i="1"/>
  <c r="AW27" i="1"/>
  <c r="AX26" i="1"/>
  <c r="AW26" i="1"/>
  <c r="AX25" i="1"/>
  <c r="AW25" i="1"/>
  <c r="AX24" i="1"/>
  <c r="AW24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X17" i="1"/>
  <c r="AW17" i="1"/>
  <c r="AX16" i="1"/>
  <c r="AW16" i="1"/>
  <c r="AX15" i="1"/>
  <c r="AW15" i="1"/>
  <c r="AX14" i="1"/>
  <c r="AW14" i="1"/>
  <c r="AX13" i="1"/>
  <c r="AW13" i="1"/>
  <c r="AX12" i="1"/>
  <c r="AW12" i="1"/>
  <c r="AX11" i="1"/>
  <c r="AW11" i="1"/>
  <c r="AX10" i="1"/>
  <c r="AW10" i="1"/>
  <c r="AX9" i="1"/>
  <c r="AW9" i="1"/>
  <c r="AX8" i="1"/>
  <c r="AW8" i="1"/>
  <c r="AX7" i="1"/>
  <c r="AW7" i="1"/>
  <c r="AX6" i="1"/>
  <c r="AW6" i="1"/>
  <c r="F21" i="5" l="1"/>
  <c r="F35" i="5"/>
  <c r="F23" i="5"/>
  <c r="F10" i="5"/>
  <c r="F17" i="5"/>
  <c r="F33" i="5"/>
  <c r="F34" i="5"/>
  <c r="F9" i="5"/>
  <c r="F15" i="5"/>
  <c r="F28" i="5"/>
  <c r="F16" i="5"/>
  <c r="F11" i="5"/>
  <c r="C38" i="5"/>
  <c r="D33" i="5" s="1"/>
  <c r="F27" i="5"/>
  <c r="F29" i="5"/>
  <c r="F27" i="4"/>
  <c r="F8" i="4"/>
  <c r="F21" i="4"/>
  <c r="F26" i="4"/>
  <c r="F31" i="4"/>
  <c r="O31" i="4"/>
  <c r="O34" i="4"/>
  <c r="F34" i="4"/>
  <c r="O40" i="4"/>
  <c r="F40" i="4"/>
  <c r="F11" i="4"/>
  <c r="F29" i="4"/>
  <c r="F19" i="4"/>
  <c r="O19" i="4"/>
  <c r="F24" i="4"/>
  <c r="F35" i="4"/>
  <c r="F13" i="4"/>
  <c r="O13" i="4"/>
  <c r="F18" i="4"/>
  <c r="O16" i="4"/>
  <c r="F16" i="4"/>
  <c r="F37" i="4"/>
  <c r="O22" i="4"/>
  <c r="F22" i="4"/>
  <c r="F9" i="4"/>
  <c r="F14" i="4"/>
  <c r="F17" i="4"/>
  <c r="F32" i="4"/>
  <c r="F38" i="4"/>
  <c r="F41" i="4"/>
  <c r="F7" i="4"/>
  <c r="C42" i="4"/>
  <c r="O7" i="4"/>
  <c r="F25" i="4"/>
  <c r="O25" i="4"/>
  <c r="F30" i="4"/>
  <c r="O10" i="4"/>
  <c r="F10" i="4"/>
  <c r="O28" i="4"/>
  <c r="F28" i="4"/>
  <c r="F36" i="4"/>
  <c r="F12" i="4"/>
  <c r="F15" i="4"/>
  <c r="F20" i="4"/>
  <c r="F23" i="4"/>
  <c r="F33" i="4"/>
  <c r="F39" i="4"/>
  <c r="O30" i="4"/>
  <c r="F22" i="5"/>
  <c r="F8" i="5"/>
  <c r="F14" i="5"/>
  <c r="F20" i="5"/>
  <c r="F26" i="5"/>
  <c r="F32" i="5"/>
  <c r="F7" i="5"/>
  <c r="O10" i="5"/>
  <c r="F13" i="5"/>
  <c r="F19" i="5"/>
  <c r="F25" i="5"/>
  <c r="F31" i="5"/>
  <c r="O34" i="5"/>
  <c r="F37" i="5"/>
  <c r="O37" i="4"/>
  <c r="O9" i="5"/>
  <c r="F12" i="5"/>
  <c r="O15" i="5"/>
  <c r="F18" i="5"/>
  <c r="O21" i="5"/>
  <c r="F24" i="5"/>
  <c r="O27" i="5"/>
  <c r="F30" i="5"/>
  <c r="O33" i="5"/>
  <c r="F36" i="5"/>
  <c r="K16" i="5" l="1"/>
  <c r="D27" i="5"/>
  <c r="D37" i="5"/>
  <c r="D12" i="5"/>
  <c r="D8" i="5"/>
  <c r="D24" i="5"/>
  <c r="D20" i="5"/>
  <c r="D11" i="5"/>
  <c r="D23" i="5"/>
  <c r="D19" i="5"/>
  <c r="D29" i="5"/>
  <c r="D17" i="5"/>
  <c r="D25" i="5"/>
  <c r="D35" i="5"/>
  <c r="D18" i="5"/>
  <c r="D14" i="5"/>
  <c r="D30" i="5"/>
  <c r="D26" i="5"/>
  <c r="D36" i="5"/>
  <c r="D32" i="5"/>
  <c r="D21" i="5"/>
  <c r="D7" i="5"/>
  <c r="E7" i="5" s="1"/>
  <c r="D13" i="5"/>
  <c r="D31" i="5"/>
  <c r="D15" i="5"/>
  <c r="D22" i="5"/>
  <c r="D9" i="5"/>
  <c r="D34" i="5"/>
  <c r="D10" i="5"/>
  <c r="D16" i="5"/>
  <c r="D28" i="5"/>
  <c r="K17" i="5"/>
  <c r="J32" i="5"/>
  <c r="L17" i="5"/>
  <c r="M17" i="5" s="1"/>
  <c r="K23" i="5"/>
  <c r="L33" i="5"/>
  <c r="M33" i="5" s="1"/>
  <c r="J22" i="5"/>
  <c r="K29" i="5"/>
  <c r="K12" i="5"/>
  <c r="L28" i="5"/>
  <c r="M28" i="5" s="1"/>
  <c r="J26" i="5"/>
  <c r="J25" i="5"/>
  <c r="K31" i="5"/>
  <c r="J11" i="5"/>
  <c r="L11" i="5"/>
  <c r="M11" i="5" s="1"/>
  <c r="K28" i="5"/>
  <c r="J33" i="5"/>
  <c r="L27" i="5"/>
  <c r="M27" i="5" s="1"/>
  <c r="L26" i="5"/>
  <c r="M26" i="5" s="1"/>
  <c r="K37" i="5"/>
  <c r="L12" i="5"/>
  <c r="M12" i="5" s="1"/>
  <c r="J16" i="5"/>
  <c r="K34" i="5"/>
  <c r="J31" i="5"/>
  <c r="L18" i="5"/>
  <c r="M18" i="5" s="1"/>
  <c r="J7" i="5"/>
  <c r="L24" i="5"/>
  <c r="M24" i="5" s="1"/>
  <c r="L10" i="5"/>
  <c r="M10" i="5" s="1"/>
  <c r="K27" i="5"/>
  <c r="K20" i="5"/>
  <c r="L20" i="5"/>
  <c r="M20" i="5" s="1"/>
  <c r="J24" i="5"/>
  <c r="J29" i="5"/>
  <c r="L29" i="5"/>
  <c r="M29" i="5" s="1"/>
  <c r="J12" i="5"/>
  <c r="J9" i="5"/>
  <c r="L19" i="5"/>
  <c r="M19" i="5" s="1"/>
  <c r="K36" i="5"/>
  <c r="J15" i="5"/>
  <c r="K33" i="5"/>
  <c r="K26" i="5"/>
  <c r="L32" i="5"/>
  <c r="M32" i="5" s="1"/>
  <c r="L25" i="5"/>
  <c r="M25" i="5" s="1"/>
  <c r="L30" i="5"/>
  <c r="M30" i="5" s="1"/>
  <c r="J34" i="5"/>
  <c r="J17" i="5"/>
  <c r="K18" i="5"/>
  <c r="J23" i="5"/>
  <c r="K30" i="5"/>
  <c r="L16" i="5"/>
  <c r="M16" i="5" s="1"/>
  <c r="J14" i="5"/>
  <c r="K32" i="5"/>
  <c r="K7" i="5"/>
  <c r="J30" i="5"/>
  <c r="J35" i="5"/>
  <c r="L35" i="5"/>
  <c r="M35" i="5" s="1"/>
  <c r="J37" i="5"/>
  <c r="J18" i="5"/>
  <c r="K21" i="5"/>
  <c r="L8" i="5"/>
  <c r="M8" i="5" s="1"/>
  <c r="J28" i="5"/>
  <c r="K10" i="5"/>
  <c r="J20" i="5"/>
  <c r="L14" i="5"/>
  <c r="M14" i="5" s="1"/>
  <c r="J36" i="5"/>
  <c r="K35" i="5"/>
  <c r="K11" i="5"/>
  <c r="J8" i="5"/>
  <c r="L34" i="5"/>
  <c r="M34" i="5" s="1"/>
  <c r="K38" i="4"/>
  <c r="K32" i="4"/>
  <c r="K26" i="4"/>
  <c r="K20" i="4"/>
  <c r="K14" i="4"/>
  <c r="K8" i="4"/>
  <c r="L39" i="4"/>
  <c r="M39" i="4" s="1"/>
  <c r="J38" i="4"/>
  <c r="L33" i="4"/>
  <c r="M33" i="4" s="1"/>
  <c r="J32" i="4"/>
  <c r="L9" i="4"/>
  <c r="M9" i="4" s="1"/>
  <c r="J8" i="4"/>
  <c r="L40" i="4"/>
  <c r="M40" i="4" s="1"/>
  <c r="J39" i="4"/>
  <c r="L34" i="4"/>
  <c r="M34" i="4" s="1"/>
  <c r="J33" i="4"/>
  <c r="K41" i="4"/>
  <c r="K35" i="4"/>
  <c r="K29" i="4"/>
  <c r="K23" i="4"/>
  <c r="K17" i="4"/>
  <c r="K11" i="4"/>
  <c r="J41" i="4"/>
  <c r="L30" i="4"/>
  <c r="M30" i="4" s="1"/>
  <c r="J29" i="4"/>
  <c r="L18" i="4"/>
  <c r="M18" i="4" s="1"/>
  <c r="J17" i="4"/>
  <c r="L36" i="4"/>
  <c r="M36" i="4" s="1"/>
  <c r="J35" i="4"/>
  <c r="L24" i="4"/>
  <c r="M24" i="4" s="1"/>
  <c r="J23" i="4"/>
  <c r="L12" i="4"/>
  <c r="M12" i="4" s="1"/>
  <c r="J11" i="4"/>
  <c r="K36" i="4"/>
  <c r="K30" i="4"/>
  <c r="K24" i="4"/>
  <c r="K18" i="4"/>
  <c r="K12" i="4"/>
  <c r="K37" i="4"/>
  <c r="K31" i="4"/>
  <c r="K25" i="4"/>
  <c r="K19" i="4"/>
  <c r="K13" i="4"/>
  <c r="K7" i="4"/>
  <c r="L26" i="4"/>
  <c r="M26" i="4" s="1"/>
  <c r="J25" i="4"/>
  <c r="L20" i="4"/>
  <c r="M20" i="4" s="1"/>
  <c r="J19" i="4"/>
  <c r="L8" i="4"/>
  <c r="M8" i="4" s="1"/>
  <c r="J7" i="4"/>
  <c r="L38" i="4"/>
  <c r="M38" i="4" s="1"/>
  <c r="J37" i="4"/>
  <c r="L32" i="4"/>
  <c r="M32" i="4" s="1"/>
  <c r="J31" i="4"/>
  <c r="L14" i="4"/>
  <c r="M14" i="4" s="1"/>
  <c r="J13" i="4"/>
  <c r="L27" i="4"/>
  <c r="M27" i="4" s="1"/>
  <c r="J26" i="4"/>
  <c r="L21" i="4"/>
  <c r="M21" i="4" s="1"/>
  <c r="J20" i="4"/>
  <c r="L15" i="4"/>
  <c r="M15" i="4" s="1"/>
  <c r="J14" i="4"/>
  <c r="K39" i="4"/>
  <c r="K33" i="4"/>
  <c r="K28" i="4"/>
  <c r="J15" i="4"/>
  <c r="K10" i="4"/>
  <c r="J21" i="4"/>
  <c r="J36" i="4"/>
  <c r="J28" i="4"/>
  <c r="L25" i="4"/>
  <c r="M25" i="4" s="1"/>
  <c r="J10" i="4"/>
  <c r="L7" i="4"/>
  <c r="L22" i="4"/>
  <c r="M22" i="4" s="1"/>
  <c r="L17" i="4"/>
  <c r="M17" i="4" s="1"/>
  <c r="K9" i="4"/>
  <c r="L11" i="4"/>
  <c r="M11" i="4" s="1"/>
  <c r="J30" i="4"/>
  <c r="J12" i="4"/>
  <c r="L37" i="4"/>
  <c r="M37" i="4" s="1"/>
  <c r="K27" i="4"/>
  <c r="L16" i="4"/>
  <c r="M16" i="4" s="1"/>
  <c r="J27" i="4"/>
  <c r="K22" i="4"/>
  <c r="J9" i="4"/>
  <c r="L41" i="4"/>
  <c r="M41" i="4" s="1"/>
  <c r="L35" i="4"/>
  <c r="M35" i="4" s="1"/>
  <c r="J22" i="4"/>
  <c r="L19" i="4"/>
  <c r="M19" i="4" s="1"/>
  <c r="J24" i="4"/>
  <c r="K16" i="4"/>
  <c r="J40" i="4"/>
  <c r="J34" i="4"/>
  <c r="J18" i="4"/>
  <c r="L28" i="4"/>
  <c r="M28" i="4" s="1"/>
  <c r="L23" i="4"/>
  <c r="M23" i="4" s="1"/>
  <c r="K15" i="4"/>
  <c r="L29" i="4"/>
  <c r="M29" i="4" s="1"/>
  <c r="K21" i="4"/>
  <c r="K34" i="4"/>
  <c r="J16" i="4"/>
  <c r="L10" i="4"/>
  <c r="M10" i="4" s="1"/>
  <c r="K40" i="4"/>
  <c r="L31" i="4"/>
  <c r="M31" i="4" s="1"/>
  <c r="L13" i="4"/>
  <c r="M13" i="4" s="1"/>
  <c r="K9" i="5"/>
  <c r="L13" i="5"/>
  <c r="M13" i="5" s="1"/>
  <c r="D36" i="4"/>
  <c r="D30" i="4"/>
  <c r="D24" i="4"/>
  <c r="D18" i="4"/>
  <c r="D12" i="4"/>
  <c r="D39" i="4"/>
  <c r="D33" i="4"/>
  <c r="D27" i="4"/>
  <c r="D21" i="4"/>
  <c r="D15" i="4"/>
  <c r="D9" i="4"/>
  <c r="D40" i="4"/>
  <c r="D34" i="4"/>
  <c r="D28" i="4"/>
  <c r="D22" i="4"/>
  <c r="D16" i="4"/>
  <c r="D10" i="4"/>
  <c r="D41" i="4"/>
  <c r="D35" i="4"/>
  <c r="D29" i="4"/>
  <c r="D23" i="4"/>
  <c r="D17" i="4"/>
  <c r="D11" i="4"/>
  <c r="D20" i="4"/>
  <c r="D7" i="4"/>
  <c r="D14" i="4"/>
  <c r="D25" i="4"/>
  <c r="D38" i="4"/>
  <c r="D31" i="4"/>
  <c r="D13" i="4"/>
  <c r="D26" i="4"/>
  <c r="D19" i="4"/>
  <c r="D32" i="4"/>
  <c r="D37" i="4"/>
  <c r="D8" i="4"/>
  <c r="K15" i="5"/>
  <c r="K8" i="5"/>
  <c r="L23" i="5"/>
  <c r="M23" i="5" s="1"/>
  <c r="K14" i="5"/>
  <c r="K24" i="5"/>
  <c r="J21" i="5"/>
  <c r="L15" i="5"/>
  <c r="M15" i="5" s="1"/>
  <c r="J13" i="5"/>
  <c r="K13" i="5"/>
  <c r="L31" i="5"/>
  <c r="M31" i="5" s="1"/>
  <c r="L36" i="5"/>
  <c r="M36" i="5" s="1"/>
  <c r="L9" i="5"/>
  <c r="M9" i="5" s="1"/>
  <c r="L22" i="5"/>
  <c r="M22" i="5" s="1"/>
  <c r="K19" i="5"/>
  <c r="J27" i="5"/>
  <c r="L21" i="5"/>
  <c r="M21" i="5" s="1"/>
  <c r="J19" i="5"/>
  <c r="K25" i="5"/>
  <c r="L37" i="5"/>
  <c r="M37" i="5" s="1"/>
  <c r="J10" i="5"/>
  <c r="K22" i="5"/>
  <c r="L7" i="5"/>
  <c r="E10" i="5" l="1"/>
  <c r="E8" i="5"/>
  <c r="E26" i="5"/>
  <c r="E23" i="5"/>
  <c r="E35" i="5"/>
  <c r="E13" i="5"/>
  <c r="E37" i="5"/>
  <c r="E19" i="5"/>
  <c r="E27" i="5"/>
  <c r="E25" i="5"/>
  <c r="E33" i="5"/>
  <c r="E11" i="5"/>
  <c r="E9" i="5"/>
  <c r="E21" i="5"/>
  <c r="E17" i="5"/>
  <c r="E31" i="5"/>
  <c r="E32" i="5"/>
  <c r="E16" i="5"/>
  <c r="E12" i="5"/>
  <c r="E22" i="5"/>
  <c r="E29" i="5"/>
  <c r="E15" i="5"/>
  <c r="E24" i="5"/>
  <c r="E34" i="5"/>
  <c r="E14" i="5"/>
  <c r="E36" i="5"/>
  <c r="E18" i="5"/>
  <c r="E28" i="5"/>
  <c r="E20" i="5"/>
  <c r="E30" i="5"/>
  <c r="L38" i="5"/>
  <c r="M7" i="5"/>
  <c r="L42" i="4"/>
  <c r="M7" i="4"/>
  <c r="E37" i="4"/>
  <c r="E31" i="4"/>
  <c r="E19" i="4"/>
  <c r="E7" i="4"/>
  <c r="E38" i="4"/>
  <c r="E40" i="4"/>
  <c r="E28" i="4"/>
  <c r="E16" i="4"/>
  <c r="E34" i="4"/>
  <c r="E22" i="4"/>
  <c r="E10" i="4"/>
  <c r="E24" i="4"/>
  <c r="E18" i="4"/>
  <c r="E36" i="4"/>
  <c r="E30" i="4"/>
  <c r="E12" i="4"/>
  <c r="E25" i="4"/>
  <c r="E13" i="4"/>
  <c r="E23" i="4"/>
  <c r="E39" i="4"/>
  <c r="E33" i="4"/>
  <c r="E20" i="4"/>
  <c r="E15" i="4"/>
  <c r="E14" i="4"/>
  <c r="E9" i="4"/>
  <c r="E29" i="4"/>
  <c r="E11" i="4"/>
  <c r="E17" i="4"/>
  <c r="E41" i="4"/>
  <c r="E35" i="4"/>
  <c r="E32" i="4"/>
  <c r="E27" i="4"/>
  <c r="E26" i="4"/>
  <c r="E21" i="4"/>
  <c r="E8" i="4"/>
  <c r="N40" i="4" l="1"/>
  <c r="N34" i="4"/>
  <c r="N22" i="4"/>
  <c r="N10" i="4"/>
  <c r="N41" i="4"/>
  <c r="N35" i="4"/>
  <c r="N31" i="4"/>
  <c r="N19" i="4"/>
  <c r="N37" i="4"/>
  <c r="N25" i="4"/>
  <c r="N13" i="4"/>
  <c r="N27" i="4"/>
  <c r="N21" i="4"/>
  <c r="N9" i="4"/>
  <c r="N39" i="4"/>
  <c r="N33" i="4"/>
  <c r="N15" i="4"/>
  <c r="N28" i="4"/>
  <c r="N16" i="4"/>
  <c r="N36" i="4"/>
  <c r="N20" i="4"/>
  <c r="N8" i="4"/>
  <c r="N30" i="4"/>
  <c r="N17" i="4"/>
  <c r="N12" i="4"/>
  <c r="N7" i="4"/>
  <c r="N38" i="4"/>
  <c r="N32" i="4"/>
  <c r="N14" i="4"/>
  <c r="N26" i="4"/>
  <c r="N29" i="4"/>
  <c r="N24" i="4"/>
  <c r="N11" i="4"/>
  <c r="N23" i="4"/>
  <c r="N18" i="4"/>
  <c r="N36" i="5"/>
  <c r="N30" i="5"/>
  <c r="N24" i="5"/>
  <c r="N18" i="5"/>
  <c r="N12" i="5"/>
  <c r="N37" i="5"/>
  <c r="N31" i="5"/>
  <c r="N25" i="5"/>
  <c r="N19" i="5"/>
  <c r="N13" i="5"/>
  <c r="N7" i="5"/>
  <c r="N32" i="5"/>
  <c r="N26" i="5"/>
  <c r="N20" i="5"/>
  <c r="N14" i="5"/>
  <c r="N33" i="5"/>
  <c r="N9" i="5"/>
  <c r="N27" i="5"/>
  <c r="N21" i="5"/>
  <c r="N15" i="5"/>
  <c r="N34" i="5"/>
  <c r="N28" i="5"/>
  <c r="N22" i="5"/>
  <c r="N16" i="5"/>
  <c r="N35" i="5"/>
  <c r="N29" i="5"/>
  <c r="N23" i="5"/>
  <c r="N17" i="5"/>
  <c r="N11" i="5"/>
  <c r="N8" i="5"/>
  <c r="N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tc={1A9705FF-16B9-4E29-90C6-C9E1710D4B20}</author>
    <author>tc={69ACAE89-80DC-4C83-A523-E4EBB8464E0A}</author>
    <author>tc={746AB7DD-48B6-400F-AE24-3CBAE1AF7960}</author>
    <author>tc={4A4D5F78-6A31-4F00-B106-154AEE1204C3}</author>
    <author>tc={40E76AB3-64EA-43B3-93D2-FA07F804AF4C}</author>
    <author>tc={C1795550-4C3D-484E-9334-117388BF6025}</author>
    <author>tc={05E74A25-F6F3-4BB4-8BFD-03A6146BA5C6}</author>
    <author>tc={67478B25-4F0B-49E2-BF7B-29C3511441B9}</author>
    <author>tc={90CCBA44-07BA-472F-A7FF-B9E06B597371}</author>
    <author>tc={4E2E4627-AF64-41B1-8472-4C3FBA30FFD3}</author>
    <author>tc={AF6026DB-34BB-4803-AC57-97D604F82171}</author>
    <author>tc={2A1D72C6-C0C4-4AC6-AB22-8E96A04607E5}</author>
    <author>tc={6A18B9C5-B4D0-49B8-9ACC-AC97AF530561}</author>
    <author>tc={9899DA3B-1785-40BC-B850-6C96DB6A1D41}</author>
    <author>tc={D062B838-57AC-4939-A7A6-F6F444BB2C21}</author>
    <author>tc={4772A1BD-008D-4652-A987-D7A6CA4BE761}</author>
    <author>Viacheslav Popov (Plana nad luznici,CZ)</author>
    <author>tc={346D791D-C241-47C3-823F-C9D37C592DA7}</author>
    <author>tc={AFB138A6-BD6D-48B5-9BFA-E600E57BBF71}</author>
    <author>tc={36B380FC-FB54-4825-8FDE-B9982A786336}</author>
    <author>tc={DB6C58E4-C44C-436C-AD63-0819A37CAA42}</author>
  </authors>
  <commentList>
    <comment ref="P9" authorId="0" shapeId="0" xr:uid="{00000000-0006-0000-0000-000001000000}">
      <text>
        <r>
          <rPr>
            <sz val="10"/>
            <rFont val="Arial"/>
            <family val="2"/>
          </rPr>
  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Od hit konektoru
</t>
        </r>
      </text>
    </comment>
    <comment ref="AR9" authorId="0" shapeId="0" xr:uid="{00000000-0006-0000-0000-000004000000}">
      <text>
        <r>
          <rPr>
            <sz val="10"/>
            <rFont val="Arial"/>
            <family val="2"/>
          </rPr>
  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Bihun
</t>
        </r>
      </text>
    </comment>
    <comment ref="P10" authorId="0" shapeId="0" xr:uid="{00000000-0006-0000-0000-000002000000}">
      <text>
        <r>
          <rPr>
            <sz val="10"/>
            <rFont val="Arial"/>
            <family val="2"/>
          </rPr>
  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HEAT</t>
        </r>
      </text>
    </comment>
    <comment ref="P11" authorId="0" shapeId="0" xr:uid="{00000000-0006-0000-0000-000003000000}">
      <text>
        <r>
          <rPr>
            <sz val="10"/>
            <rFont val="Arial"/>
            <family val="2"/>
          </rPr>
  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TEFLONKA
</t>
        </r>
      </text>
    </comment>
    <comment ref="P26" authorId="1" shapeId="0" xr:uid="{1A9705FF-16B9-4E29-90C6-C9E1710D4B20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IMM
</t>
      </text>
    </comment>
    <comment ref="P27" authorId="2" shapeId="0" xr:uid="{69ACAE89-80DC-4C83-A523-E4EBB8464E0A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IMM
</t>
      </text>
    </comment>
    <comment ref="P28" authorId="3" shapeId="0" xr:uid="{746AB7DD-48B6-400F-AE24-3CBAE1AF796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IMM</t>
      </text>
    </comment>
    <comment ref="P29" authorId="4" shapeId="0" xr:uid="{4A4D5F78-6A31-4F00-B106-154AEE1204C3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Teflonka
</t>
      </text>
    </comment>
    <comment ref="AF43" authorId="5" shapeId="0" xr:uid="{40E76AB3-64EA-43B3-93D2-FA07F804AF4C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Glu
</t>
      </text>
    </comment>
    <comment ref="Y65" authorId="6" shapeId="0" xr:uid="{C1795550-4C3D-484E-9334-117388BF602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Roh a zona</t>
      </text>
    </comment>
    <comment ref="V80" authorId="7" shapeId="0" xr:uid="{05E74A25-F6F3-4BB4-8BFD-03A6146BA5C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Porucha laminace</t>
      </text>
    </comment>
    <comment ref="V81" authorId="8" shapeId="0" xr:uid="{67478B25-4F0B-49E2-BF7B-29C3511441B9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Porucha laminace / deformovan0 zebro A zona, nocni smena</t>
      </text>
    </comment>
    <comment ref="E98" authorId="9" shapeId="0" xr:uid="{90CCBA44-07BA-472F-A7FF-B9E06B59737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kabel</t>
      </text>
    </comment>
    <comment ref="H168" authorId="10" shapeId="0" xr:uid="{4E2E4627-AF64-41B1-8472-4C3FBA30FFD3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WL</t>
      </text>
    </comment>
    <comment ref="Z175" authorId="11" shapeId="0" xr:uid="{AF6026DB-34BB-4803-AC57-97D604F82171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Poškozené sítí </t>
      </text>
    </comment>
    <comment ref="Y247" authorId="12" shapeId="0" xr:uid="{2A1D72C6-C0C4-4AC6-AB22-8E96A04607E5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Spalena kuze
</t>
      </text>
    </comment>
    <comment ref="H253" authorId="13" shapeId="0" xr:uid="{6A18B9C5-B4D0-49B8-9ACC-AC97AF53056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MP</t>
      </text>
    </comment>
    <comment ref="P253" authorId="14" shapeId="0" xr:uid="{9899DA3B-1785-40BC-B850-6C96DB6A1D4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WL</t>
      </text>
    </comment>
    <comment ref="Y253" authorId="15" shapeId="0" xr:uid="{D062B838-57AC-4939-A7A6-F6F444BB2C2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SPALENA KUZE</t>
      </text>
    </comment>
    <comment ref="Y261" authorId="16" shapeId="0" xr:uid="{4772A1BD-008D-4652-A987-D7A6CA4BE76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Skin def</t>
      </text>
    </comment>
    <comment ref="H269" authorId="17" shapeId="0" xr:uid="{E5826475-9F80-4E27-8A34-317FE28AF0E7}">
      <text>
        <r>
          <rPr>
            <b/>
            <sz val="9"/>
            <color indexed="81"/>
            <rFont val="Tahoma"/>
            <charset val="1"/>
          </rPr>
          <t>Viacheslav Popov (Plana nad luznici,CZ):</t>
        </r>
        <r>
          <rPr>
            <sz val="9"/>
            <color indexed="81"/>
            <rFont val="Tahoma"/>
            <charset val="1"/>
          </rPr>
          <t xml:space="preserve">
WS
</t>
        </r>
      </text>
    </comment>
    <comment ref="H270" authorId="18" shapeId="0" xr:uid="{346D791D-C241-47C3-823F-C9D37C592DA7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MP
</t>
      </text>
    </comment>
    <comment ref="H271" authorId="19" shapeId="0" xr:uid="{AFB138A6-BD6D-48B5-9BFA-E600E57BBF7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MP</t>
      </text>
    </comment>
    <comment ref="H291" authorId="20" shapeId="0" xr:uid="{36B380FC-FB54-4825-8FDE-B9982A786336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Mp
</t>
      </text>
    </comment>
    <comment ref="Y323" authorId="21" shapeId="0" xr:uid="{DB6C58E4-C44C-436C-AD63-0819A37CAA42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Lep pod kuze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tc={BBF0E998-337F-4F84-AF83-F6C0B2AABF4B}</author>
    <author>tc={54EC1706-E22A-4217-84DC-2E823269CF94}</author>
    <author>tc={7D7859C7-8080-45C1-91FC-7AC0E8B23B61}</author>
    <author>tc={E19EE814-5AC5-4016-9B1A-1A4A31A75E63}</author>
    <author>tc={486E25B1-0E4C-4DAA-8565-CE169E1D89A2}</author>
    <author>tc={135E55AF-BC92-4F52-8A76-DDEB6DD23C27}</author>
    <author>tc={D6E4AF62-EB88-4B08-B2E2-46EF8E79639F}</author>
    <author>tc={603EDD98-F6A4-4E67-93CE-A7FF27E8C567}</author>
    <author>tc={546C3589-DDB9-4ED4-9053-7505C077F035}</author>
    <author>tc={08D5FC55-5D4E-4015-BC4B-4103238F6BF0}</author>
    <author>tc={AF796137-5D2B-4E00-853D-E1565C05C5F1}</author>
    <author>tc={C27BE868-82F9-4BA5-A991-C7B0F52F0400}</author>
    <author>tc={267DF044-9AF3-4ECF-A0DA-FC77D755588E}</author>
    <author>tc={CDD69D13-5534-423C-BAC9-9EA8BC071A0F}</author>
    <author>tc={14BAB7B3-C74D-445C-8B7B-AB497A544DC2}</author>
    <author>tc={1D60C9AF-545F-458B-BF59-B4266025DB2A}</author>
    <author>tc={F88C7482-D912-4C06-9646-3EB1D9B099AD}</author>
    <author>tc={E1AB6EEE-9163-4F01-A9ED-7E38F283DEB4}</author>
    <author>tc={E3399902-AC73-4F22-8CA0-50C804D51836}</author>
    <author>tc={BF1360AB-6B47-4A47-9387-BD3704115F42}</author>
    <author>tc={E8211508-0ACC-43BB-8A7E-D30017D67A89}</author>
    <author>tc={F2A5BBCC-FCD7-4C13-911C-7D73D6C630E5}</author>
    <author>tc={83BC9A06-67F4-4D4F-9B0B-E5D63F1891C4}</author>
    <author>tc={93D7F48D-881D-42C1-9407-CE6468265560}</author>
    <author>tc={FDE12BEA-A44B-4011-B29B-BB164239F66A}</author>
    <author>tc={95A00D0D-A275-4245-A1D5-E71D0AF4160E}</author>
    <author>tc={99C2A4F4-6E8E-48A2-889F-66811030917C}</author>
    <author>tc={2BBD9DEC-CD0B-4720-9101-A7EF439C17FE}</author>
    <author>tc={3E9C4DFC-B01F-4D93-B713-DB2FDC22C092}</author>
  </authors>
  <commentList>
    <comment ref="F9" authorId="0" shapeId="0" xr:uid="{00000000-0006-0000-0100-000001000000}">
      <text>
        <r>
          <rPr>
            <sz val="10"/>
            <rFont val="Arial"/>
            <family val="2"/>
          </rPr>
  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27.5. / 8 00</t>
        </r>
      </text>
    </comment>
    <comment ref="AS9" authorId="0" shapeId="0" xr:uid="{00000000-0006-0000-0100-000004000000}">
      <text>
        <r>
          <rPr>
            <sz val="10"/>
            <rFont val="Arial"/>
            <family val="2"/>
          </rPr>
  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U WL</t>
        </r>
      </text>
    </comment>
    <comment ref="AQ14" authorId="0" shapeId="0" xr:uid="{00000000-0006-0000-0100-000002000000}">
      <text>
        <r>
          <rPr>
            <sz val="10"/>
            <rFont val="Arial"/>
            <family val="2"/>
          </rPr>
  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Hanna / 27.5., 11:00</t>
        </r>
      </text>
    </comment>
    <comment ref="AQ15" authorId="0" shapeId="0" xr:uid="{00000000-0006-0000-0100-000003000000}">
      <text>
        <r>
          <rPr>
            <sz val="10"/>
            <rFont val="Arial"/>
            <family val="2"/>
          </rPr>
  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Bihun 28.5., 10:53</t>
        </r>
      </text>
    </comment>
    <comment ref="AQ21" authorId="1" shapeId="0" xr:uid="{BBF0E998-337F-4F84-AF83-F6C0B2AABF4B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Oksana - 2.6.
</t>
      </text>
    </comment>
    <comment ref="W23" authorId="2" shapeId="0" xr:uid="{54EC1706-E22A-4217-84DC-2E823269CF94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- poskozeny u WL</t>
      </text>
    </comment>
    <comment ref="X23" authorId="3" shapeId="0" xr:uid="{7D7859C7-8080-45C1-91FC-7AC0E8B23B6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A zona</t>
      </text>
    </comment>
    <comment ref="AW23" authorId="4" shapeId="0" xr:uid="{E19EE814-5AC5-4016-9B1A-1A4A31A75E63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Nastrih u WL</t>
      </text>
    </comment>
    <comment ref="W24" authorId="5" shapeId="0" xr:uid="{486E25B1-0E4C-4DAA-8565-CE169E1D89A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Nastrih u WL /behem laminace rohu</t>
      </text>
    </comment>
    <comment ref="AW24" authorId="6" shapeId="0" xr:uid="{135E55AF-BC92-4F52-8A76-DDEB6DD23C2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Nastrih u WL</t>
      </text>
    </comment>
    <comment ref="X36" authorId="7" shapeId="0" xr:uid="{D6E4AF62-EB88-4B08-B2E2-46EF8E79639F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FRT - zuzena cast A zony</t>
      </text>
    </comment>
    <comment ref="AC36" authorId="8" shapeId="0" xr:uid="{603EDD98-F6A4-4E67-93CE-A7FF27E8C56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WL</t>
      </text>
    </comment>
    <comment ref="AQ36" authorId="9" shapeId="0" xr:uid="{546C3589-DDB9-4ED4-9053-7505C077F03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Anna, Tatiana</t>
      </text>
    </comment>
    <comment ref="X38" authorId="10" shapeId="0" xr:uid="{08D5FC55-5D4E-4015-BC4B-4103238F6BF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Prefixovani kanalu kosti A zona FRT</t>
      </text>
    </comment>
    <comment ref="H39" authorId="11" shapeId="0" xr:uid="{AF796137-5D2B-4E00-853D-E1565C05C5F1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mp</t>
      </text>
    </comment>
    <comment ref="W39" authorId="12" shapeId="0" xr:uid="{C27BE868-82F9-4BA5-A991-C7B0F52F040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Roztrzeny sev</t>
      </text>
    </comment>
    <comment ref="AQ39" authorId="13" shapeId="0" xr:uid="{267DF044-9AF3-4ECF-A0DA-FC77D755588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12.6.-Bihun</t>
      </text>
    </comment>
    <comment ref="AQ47" authorId="14" shapeId="0" xr:uid="{CDD69D13-5534-423C-BAC9-9EA8BC071A0F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A zona
roh</t>
      </text>
    </comment>
    <comment ref="Q54" authorId="15" shapeId="0" xr:uid="{14BAB7B3-C74D-445C-8B7B-AB497A544DC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Pod AR</t>
      </text>
    </comment>
    <comment ref="C59" authorId="16" shapeId="0" xr:uid="{1D60C9AF-545F-458B-BF59-B4266025DB2A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mp</t>
      </text>
    </comment>
    <comment ref="AQ64" authorId="17" shapeId="0" xr:uid="{F88C7482-D912-4C06-9646-3EB1D9B099A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Heat dent</t>
      </text>
    </comment>
    <comment ref="W65" authorId="18" shapeId="0" xr:uid="{E1AB6EEE-9163-4F01-A9ED-7E38F283DEB4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Poskozeny sev hackem - znecisteni od lepidla</t>
      </text>
    </comment>
    <comment ref="W83" authorId="19" shapeId="0" xr:uid="{E3399902-AC73-4F22-8CA0-50C804D5183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Barva A zona</t>
      </text>
    </comment>
    <comment ref="AQ98" authorId="20" shapeId="0" xr:uid="{BF1360AB-6B47-4A47-9387-BD3704115F4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Dent A heat</t>
      </text>
    </comment>
    <comment ref="U139" authorId="21" shapeId="0" xr:uid="{E8211508-0ACC-43BB-8A7E-D30017D67A89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1.7.,</t>
      </text>
    </comment>
    <comment ref="W139" authorId="22" shapeId="0" xr:uid="{F2A5BBCC-FCD7-4C13-911C-7D73D6C630E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Spalena kuze</t>
      </text>
    </comment>
    <comment ref="AC139" authorId="23" shapeId="0" xr:uid="{83BC9A06-67F4-4D4F-9B0B-E5D63F1891C4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WL</t>
      </text>
    </comment>
    <comment ref="AQ139" authorId="24" shapeId="0" xr:uid="{93D7F48D-881D-42C1-9407-CE646826556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A zona, dent heat</t>
      </text>
    </comment>
    <comment ref="AQ140" authorId="25" shapeId="0" xr:uid="{FDE12BEA-A44B-4011-B29B-BB164239F66A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Vyduch spacer vs.plast</t>
      </text>
    </comment>
    <comment ref="U141" authorId="26" shapeId="0" xr:uid="{95A00D0D-A275-4245-A1D5-E71D0AF4160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1.7.,11:30</t>
      </text>
    </comment>
    <comment ref="AQ142" authorId="27" shapeId="0" xr:uid="{99C2A4F4-6E8E-48A2-889F-66811030917C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Dent A heat</t>
      </text>
    </comment>
    <comment ref="U143" authorId="28" shapeId="0" xr:uid="{2BBD9DEC-CD0B-4720-9101-A7EF439C17F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A zona</t>
      </text>
    </comment>
    <comment ref="X143" authorId="29" shapeId="0" xr:uid="{3E9C4DFC-B01F-4D93-B713-DB2FDC22C09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WL</t>
      </text>
    </comment>
  </commentList>
</comments>
</file>

<file path=xl/sharedStrings.xml><?xml version="1.0" encoding="utf-8"?>
<sst xmlns="http://schemas.openxmlformats.org/spreadsheetml/2006/main" count="3748" uniqueCount="2828">
  <si>
    <t>Posouzení main carrieru – PREFIX</t>
  </si>
  <si>
    <t>Datum posouzení:</t>
  </si>
  <si>
    <t>Kód vady</t>
  </si>
  <si>
    <t>SSP2</t>
  </si>
  <si>
    <t>PMEP</t>
  </si>
  <si>
    <t>OHN2</t>
  </si>
  <si>
    <t>PSKU</t>
  </si>
  <si>
    <t>PDSP</t>
  </si>
  <si>
    <t>PLPK</t>
  </si>
  <si>
    <t>PSNA</t>
  </si>
  <si>
    <t>LEP</t>
  </si>
  <si>
    <t>PVZD</t>
  </si>
  <si>
    <t>PSMK</t>
  </si>
  <si>
    <t>ZVR</t>
  </si>
  <si>
    <t>LAB</t>
  </si>
  <si>
    <t>PKOL</t>
  </si>
  <si>
    <t>PELC</t>
  </si>
  <si>
    <t>PDEP</t>
  </si>
  <si>
    <t>PNHE</t>
  </si>
  <si>
    <t>PELC2</t>
  </si>
  <si>
    <t>PVZD2</t>
  </si>
  <si>
    <t>PSKU2</t>
  </si>
  <si>
    <t>PPOS</t>
  </si>
  <si>
    <t>PDEP2</t>
  </si>
  <si>
    <t>OTL</t>
  </si>
  <si>
    <t>POTL2</t>
  </si>
  <si>
    <t>NRW</t>
  </si>
  <si>
    <t>SPF</t>
  </si>
  <si>
    <t>DEL</t>
  </si>
  <si>
    <t>PDEL</t>
  </si>
  <si>
    <t>ZHN</t>
  </si>
  <si>
    <t>PSZA</t>
  </si>
  <si>
    <t>ZNA</t>
  </si>
  <si>
    <t>PLPK2</t>
  </si>
  <si>
    <t>FLEK</t>
  </si>
  <si>
    <t>P022</t>
  </si>
  <si>
    <t>PSPC</t>
  </si>
  <si>
    <t>PSKZ</t>
  </si>
  <si>
    <t>PSHC</t>
  </si>
  <si>
    <t>PSMC</t>
  </si>
  <si>
    <t>PSMC2</t>
  </si>
  <si>
    <t>PELS</t>
  </si>
  <si>
    <t>PELS2</t>
  </si>
  <si>
    <t>PSGL</t>
  </si>
  <si>
    <t>PDSP2</t>
  </si>
  <si>
    <t>PSPS</t>
  </si>
  <si>
    <t>PSAL</t>
  </si>
  <si>
    <t>KRSW</t>
  </si>
  <si>
    <t>KRSK</t>
  </si>
  <si>
    <t>KRSS</t>
  </si>
  <si>
    <t>_MES</t>
  </si>
  <si>
    <t>_ROK</t>
  </si>
  <si>
    <t>Popis vady</t>
  </si>
  <si>
    <t>Spálený spacer</t>
  </si>
  <si>
    <t>Mechanické poškození</t>
  </si>
  <si>
    <t>Odřená hrana</t>
  </si>
  <si>
    <t>Spálená kůže</t>
  </si>
  <si>
    <t>Deformovaný spacer</t>
  </si>
  <si>
    <t>Lepidlo pod kůží</t>
  </si>
  <si>
    <t>Špatný nástřih</t>
  </si>
  <si>
    <t>Špatně nanesené lepidlo</t>
  </si>
  <si>
    <t>Vzduch</t>
  </si>
  <si>
    <t>Šev mimo kanál</t>
  </si>
  <si>
    <t>Zvrásnění povrchu</t>
  </si>
  <si>
    <t>Testy laboratoř</t>
  </si>
  <si>
    <t>Kontaminace lepidlem</t>
  </si>
  <si>
    <t>Expirované lepidlo na MC</t>
  </si>
  <si>
    <t>Deformace plastu</t>
  </si>
  <si>
    <t>Nefunkční heating</t>
  </si>
  <si>
    <t>Expirované lepidlo na main carrieru (stroj)</t>
  </si>
  <si>
    <t>Vzduch (stroj)</t>
  </si>
  <si>
    <t>Spálená kůže (stroj)</t>
  </si>
  <si>
    <t>Poškozené šití</t>
  </si>
  <si>
    <t>Deformace plastu (stroj)</t>
  </si>
  <si>
    <t>Otlak</t>
  </si>
  <si>
    <t>Otlak (stroj)</t>
  </si>
  <si>
    <t>NOK rework</t>
  </si>
  <si>
    <t>Špatný prefix</t>
  </si>
  <si>
    <t>Delaminace (hrany)</t>
  </si>
  <si>
    <t>Delaminace (plochy)</t>
  </si>
  <si>
    <t>Zahranění NOK</t>
  </si>
  <si>
    <t>Špatný zaříznutí</t>
  </si>
  <si>
    <t>Znečištění od ASQ</t>
  </si>
  <si>
    <t>Lepidlo pod kůží (stroj)</t>
  </si>
  <si>
    <t>Flek</t>
  </si>
  <si>
    <t>Flek (stroj)</t>
  </si>
  <si>
    <t>Špatný spacer</t>
  </si>
  <si>
    <t>Špatná kůže</t>
  </si>
  <si>
    <t>Špatný heating spacer</t>
  </si>
  <si>
    <t>Špatný plastový MC</t>
  </si>
  <si>
    <t>Špatný plastový MC (stroj)</t>
  </si>
  <si>
    <t>Expirované lepidlo na spaceru</t>
  </si>
  <si>
    <t>Expirované lepidlo na spaceru (stroj)</t>
  </si>
  <si>
    <t>Špatná gramáž lepidla</t>
  </si>
  <si>
    <t>Deformovaný spacer (stroj)</t>
  </si>
  <si>
    <t>Špatný prefix spaceru (otlak, mimo pozici)</t>
  </si>
  <si>
    <t>Špatně aktivované lepidlo</t>
  </si>
  <si>
    <t>Kragujevac - sewing</t>
  </si>
  <si>
    <t>Kragujevac - skin defect</t>
  </si>
  <si>
    <t>Kragujevac - short skin</t>
  </si>
  <si>
    <t>Měsíc</t>
  </si>
  <si>
    <t>Rok</t>
  </si>
  <si>
    <t>Datum / Part number</t>
  </si>
  <si>
    <t>MY0547099-9Z03</t>
  </si>
  <si>
    <t>3449518-9Y982705260127</t>
  </si>
  <si>
    <t>3449518-9Z032805260042</t>
  </si>
  <si>
    <t>MY0547099-9Y512805260076</t>
  </si>
  <si>
    <t>3448362-9Y523105260001</t>
  </si>
  <si>
    <t>3448362-9Y983105260009</t>
  </si>
  <si>
    <t>MY0547078-9Z040106260069</t>
  </si>
  <si>
    <t>MY0547078-8X820106260086</t>
  </si>
  <si>
    <t>3449518-9Z040106260128</t>
  </si>
  <si>
    <t>MY0547099-9Z040206260037</t>
  </si>
  <si>
    <t>3449523-9Y510106260035</t>
  </si>
  <si>
    <t>MY0547099-9Z030206260016</t>
  </si>
  <si>
    <t>3449523-9Z030106260075</t>
  </si>
  <si>
    <t>MY0547078-9E380206260004</t>
  </si>
  <si>
    <t>3449518-9Z040106260146</t>
  </si>
  <si>
    <t>MY0547099-9Y520106260114</t>
  </si>
  <si>
    <t>3449518-9Z030106260045</t>
  </si>
  <si>
    <t>3449518-9Y51</t>
  </si>
  <si>
    <t>3449523-9Y520106260111</t>
  </si>
  <si>
    <t>3449518-9Z040106260119</t>
  </si>
  <si>
    <t>3449518-9Z040106260127</t>
  </si>
  <si>
    <t>MY0547099-9Z040206260045</t>
  </si>
  <si>
    <t>MY0547099-9Z22</t>
  </si>
  <si>
    <t>MY0547078-9Y980206260101</t>
  </si>
  <si>
    <t>MY0547078-8X820206260032</t>
  </si>
  <si>
    <t>MY0547099-9E380306260003</t>
  </si>
  <si>
    <t>M3449523-9Z220306260026</t>
  </si>
  <si>
    <t>3449518-9Y520206260061</t>
  </si>
  <si>
    <t>3449518-9Y520206260078</t>
  </si>
  <si>
    <t>MY0547099-9E380306260001</t>
  </si>
  <si>
    <t>MY0547078-9Z040206260106</t>
  </si>
  <si>
    <t>3449518-9Y740206260087</t>
  </si>
  <si>
    <t>MY0547078-9Z040206260105</t>
  </si>
  <si>
    <t>3449518-9Y510206260162</t>
  </si>
  <si>
    <t>3449518-9Y510206260156</t>
  </si>
  <si>
    <t>MY0547099-9Z220206260132</t>
  </si>
  <si>
    <t>MY0547078-9E380406260020</t>
  </si>
  <si>
    <t>MY0547099-9Y510306260132</t>
  </si>
  <si>
    <t>MY0547099-9Y510306260145</t>
  </si>
  <si>
    <t>3448362-9Y980306260010</t>
  </si>
  <si>
    <t>3448362-9Y980306260007</t>
  </si>
  <si>
    <t>MY0547078-9Y510406260036</t>
  </si>
  <si>
    <t>3449518-9Y510306260015</t>
  </si>
  <si>
    <t>3449518-9Y520306260028</t>
  </si>
  <si>
    <t>MY0547078-8X820406260026</t>
  </si>
  <si>
    <t>MY0547078-9E380406260019</t>
  </si>
  <si>
    <t>3448356-9Y520306260010</t>
  </si>
  <si>
    <t>3449523-9Y520306260067</t>
  </si>
  <si>
    <t>3449523-9Y520306260101</t>
  </si>
  <si>
    <t>MY0547099-9Y510306260137</t>
  </si>
  <si>
    <t>Posouzení main carrieru – SKLAD</t>
  </si>
  <si>
    <t>spatny prefix spaceru</t>
  </si>
  <si>
    <t>Lepidlo pod kuzi</t>
  </si>
  <si>
    <t>3449518-9Y522605260012</t>
  </si>
  <si>
    <t>3449518-9Z032505260080</t>
  </si>
  <si>
    <t>MY0547099-9Y512505260073</t>
  </si>
  <si>
    <t>MY0547078-8X822505260145</t>
  </si>
  <si>
    <t>3449518-9E382505260095</t>
  </si>
  <si>
    <t>3448362-9Y522605260032</t>
  </si>
  <si>
    <t>MY0547078-9Y522605260058</t>
  </si>
  <si>
    <t>3448362-9Y742605260039</t>
  </si>
  <si>
    <t>MY0547078-9Z032505260092</t>
  </si>
  <si>
    <t>MY0547078-9Y982505260117</t>
  </si>
  <si>
    <t>3449518-9E382505260099</t>
  </si>
  <si>
    <t>MY0547078-9Y522605260067</t>
  </si>
  <si>
    <t>MY0547099-9Z032505260032</t>
  </si>
  <si>
    <t>3449518-9Y512705260114</t>
  </si>
  <si>
    <t>3449518-8X822705260065</t>
  </si>
  <si>
    <t>MY0547099-9Z232705260150</t>
  </si>
  <si>
    <t>3448356-9Y982705260012</t>
  </si>
  <si>
    <t>MY0547099-9Y512705260023</t>
  </si>
  <si>
    <t>MY0547099-8X822605260027</t>
  </si>
  <si>
    <t>3449523-9Z042605260024</t>
  </si>
  <si>
    <t>MY0547099-9E382705260101</t>
  </si>
  <si>
    <t>MY0547099-9Y982705260060</t>
  </si>
  <si>
    <t>3448362-9Y981905260032</t>
  </si>
  <si>
    <t>3448362-9Y982605260001</t>
  </si>
  <si>
    <t>MY0547078-8X822605260010</t>
  </si>
  <si>
    <t>3449518-9Y512705260106</t>
  </si>
  <si>
    <t>MY0547078-9Z042805260026</t>
  </si>
  <si>
    <t>MY0547099-9Z222805260066</t>
  </si>
  <si>
    <t>MY0547078-9E382705260077</t>
  </si>
  <si>
    <t>MY0547099-9Z222805260073</t>
  </si>
  <si>
    <t>MY0547099-9Z042805260055</t>
  </si>
  <si>
    <t>3449523-8X822805260151</t>
  </si>
  <si>
    <t>MY0547099-9Y512805260105</t>
  </si>
  <si>
    <t>MY0547099-9E382805260034</t>
  </si>
  <si>
    <t>MY0547078-9A842805260029</t>
  </si>
  <si>
    <t>MY0547078-9Z032805260016</t>
  </si>
  <si>
    <t>MY0547078-8X822805260043</t>
  </si>
  <si>
    <t>MY0547099-9Z030106260064</t>
  </si>
  <si>
    <t>MY0547078-9Z042605260093</t>
  </si>
  <si>
    <t>MY0547078-9A842805260032</t>
  </si>
  <si>
    <t>MY0547078-9Y742805260076</t>
  </si>
  <si>
    <t>MY0547099-9Y510106260092</t>
  </si>
  <si>
    <t>3449518-9Z032805260043</t>
  </si>
  <si>
    <t>3449518-9Z032805260074</t>
  </si>
  <si>
    <t>Datum</t>
  </si>
  <si>
    <t>FR HEAT</t>
  </si>
  <si>
    <t>FL HEAT</t>
  </si>
  <si>
    <t>FR</t>
  </si>
  <si>
    <t>FL</t>
  </si>
  <si>
    <t>RR</t>
  </si>
  <si>
    <t>RL</t>
  </si>
  <si>
    <t>MY0547078-9Z03</t>
  </si>
  <si>
    <t>3448362-9Y74</t>
  </si>
  <si>
    <t>3448356-9Y53</t>
  </si>
  <si>
    <t>3449523-9E38</t>
  </si>
  <si>
    <t>M3449618-9z22</t>
  </si>
  <si>
    <t>MY0547078-9Z22</t>
  </si>
  <si>
    <t>3448362-9Y51</t>
  </si>
  <si>
    <t>3448356-9Y98</t>
  </si>
  <si>
    <t>3449523-9Y52</t>
  </si>
  <si>
    <t>3449518-9E38</t>
  </si>
  <si>
    <t>MY0547099-9Z04</t>
  </si>
  <si>
    <t>MY0547099-9Y51</t>
  </si>
  <si>
    <t>3449518-9Y74</t>
  </si>
  <si>
    <t>MY0547099-9Y98</t>
  </si>
  <si>
    <t>3448362-9Y52</t>
  </si>
  <si>
    <t>3448362-9Y98</t>
  </si>
  <si>
    <t>3448356-9A84</t>
  </si>
  <si>
    <t>3449518-8X82</t>
  </si>
  <si>
    <t>3448362-9E38</t>
  </si>
  <si>
    <t>3448356-9Y52</t>
  </si>
  <si>
    <t>3448356-9Y51</t>
  </si>
  <si>
    <t>3448356-9E38</t>
  </si>
  <si>
    <t>3448362-9A84</t>
  </si>
  <si>
    <t>MY0547078-8X82</t>
  </si>
  <si>
    <t>3448356-9Y74</t>
  </si>
  <si>
    <t>MY0547078-9E38</t>
  </si>
  <si>
    <t>MY0547099-9Y74</t>
  </si>
  <si>
    <t>3448356-8X82</t>
  </si>
  <si>
    <t>3449518-9Y52</t>
  </si>
  <si>
    <t>MY0547099-8X82</t>
  </si>
  <si>
    <t>MY0547099-9E38</t>
  </si>
  <si>
    <t>3449523-9Y51</t>
  </si>
  <si>
    <t>MY0547099-9Y52</t>
  </si>
  <si>
    <t>MY0547099-9Y53</t>
  </si>
  <si>
    <t>MY0547078-9Y98</t>
  </si>
  <si>
    <t>3448356-9Z03</t>
  </si>
  <si>
    <t>3449523-9Z04</t>
  </si>
  <si>
    <t>3449518-9A84</t>
  </si>
  <si>
    <t>MY0547078-9Y51</t>
  </si>
  <si>
    <t>3449518-9Y81</t>
  </si>
  <si>
    <t>3449518-9Z04</t>
  </si>
  <si>
    <t>MY0547099-8X822702260051</t>
  </si>
  <si>
    <t>3448362-9Y512001260022</t>
  </si>
  <si>
    <t>3449523-9Y522702260037</t>
  </si>
  <si>
    <t>MY0547099-9Y510103260005</t>
  </si>
  <si>
    <t>MY0547099-9Y982702260061</t>
  </si>
  <si>
    <t>MY0547099-9Y522702260110</t>
  </si>
  <si>
    <t>3448362-9Y512101260001</t>
  </si>
  <si>
    <t>3448362-9Y511601260008</t>
  </si>
  <si>
    <t>M3449518-9Z22</t>
  </si>
  <si>
    <t>3449518-9Y53</t>
  </si>
  <si>
    <t>MY0547078-9Y52</t>
  </si>
  <si>
    <t>MY0547078-9Y81</t>
  </si>
  <si>
    <t>3449523-9Y74</t>
  </si>
  <si>
    <t>3448362-9Z04</t>
  </si>
  <si>
    <t>3448362-8X82</t>
  </si>
  <si>
    <t>MY0547078-9Z04</t>
  </si>
  <si>
    <t>3449518-9Y98</t>
  </si>
  <si>
    <t>MY0547078-9Y74</t>
  </si>
  <si>
    <t>M3449523-9Z22</t>
  </si>
  <si>
    <t>3449523-9Y98</t>
  </si>
  <si>
    <t>MY0547099-9A84</t>
  </si>
  <si>
    <t>M3448362-9Z22</t>
  </si>
  <si>
    <t>3449523-8X82</t>
  </si>
  <si>
    <t>3449518-9Z03</t>
  </si>
  <si>
    <t xml:space="preserve"> </t>
  </si>
  <si>
    <t>MY0547078-9Z52</t>
  </si>
  <si>
    <t>MY0547078-9A84</t>
  </si>
  <si>
    <t>M3448356-9Z23</t>
  </si>
  <si>
    <t>3449523-9Y521</t>
  </si>
  <si>
    <t>3448356-8X821</t>
  </si>
  <si>
    <t>MY0547099-9Z23</t>
  </si>
  <si>
    <t>M3449523-9Z23</t>
  </si>
  <si>
    <t>3449523-9Z03</t>
  </si>
  <si>
    <t>MY0547078-9Z23</t>
  </si>
  <si>
    <t>MY0547099-9Z032704260059</t>
  </si>
  <si>
    <t>MY0547078-9Y512704260083</t>
  </si>
  <si>
    <t>3449518-9Z032704260083</t>
  </si>
  <si>
    <t>MY0547078-9Y522704260106</t>
  </si>
  <si>
    <t>MY0547078-9Y512704260079</t>
  </si>
  <si>
    <t>MY0547078-9Y522704260093</t>
  </si>
  <si>
    <t>MY0547078-9Y512704260082</t>
  </si>
  <si>
    <t>MY0547099-9Y82</t>
  </si>
  <si>
    <t>M3449518-9Z23</t>
  </si>
  <si>
    <t>M3448356-9Z22</t>
  </si>
  <si>
    <t>3448362-9Y81</t>
  </si>
  <si>
    <t>MY0547099-9Y740705260027</t>
  </si>
  <si>
    <t>MY0547078-9A840705260068</t>
  </si>
  <si>
    <t>3448362-9Y812101260003</t>
  </si>
  <si>
    <t>3449523-9E380705260034</t>
  </si>
  <si>
    <t>MY0547099-9Y980605260003</t>
  </si>
  <si>
    <t>3449523-9Y520605260054</t>
  </si>
  <si>
    <t>MY0547099-9Y512804260040</t>
  </si>
  <si>
    <t>3449523-9Y980705260067</t>
  </si>
  <si>
    <t>MY0547099-9E381105260094</t>
  </si>
  <si>
    <t>MY0547099-9E381305260033</t>
  </si>
  <si>
    <t>MY0547078-9Y511105260080</t>
  </si>
  <si>
    <t>MY0547099-9Y511105260017</t>
  </si>
  <si>
    <t>MY0547099-9Y741305260073</t>
  </si>
  <si>
    <t>3448362-9Y521205260012</t>
  </si>
  <si>
    <t>MY0547078-9Y741205260063</t>
  </si>
  <si>
    <t>3448362-9Y521205260010</t>
  </si>
  <si>
    <t>3449523-9Y521205260083</t>
  </si>
  <si>
    <t>3449518-9Y521105260071</t>
  </si>
  <si>
    <t>3449523-9Y980705260098</t>
  </si>
  <si>
    <t>3449518-8X821205260025</t>
  </si>
  <si>
    <t>MY0547099-9Y521105260101</t>
  </si>
  <si>
    <t>MY0547078-8X821105260048</t>
  </si>
  <si>
    <t>3448362-9Y521405260013</t>
  </si>
  <si>
    <t>3448356-8X821205260003</t>
  </si>
  <si>
    <t>M3449523-9Z231305260046</t>
  </si>
  <si>
    <t>3449518-9Y511405260005</t>
  </si>
  <si>
    <t>MY0547099-9A841305260071</t>
  </si>
  <si>
    <t>MY0547078-9Z031405260070</t>
  </si>
  <si>
    <t>MY0547078-9Y981505260032</t>
  </si>
  <si>
    <t>3449523-9Y511105260006</t>
  </si>
  <si>
    <t>3449518-9Y511305260049</t>
  </si>
  <si>
    <t>3449523-9Z032704260122</t>
  </si>
  <si>
    <t>MY0547099-9Z031205260036</t>
  </si>
  <si>
    <t>MY0547078-9Y981105260034</t>
  </si>
  <si>
    <t>3449518-9Y521305260120</t>
  </si>
  <si>
    <t>MY0547099-8X821205260090</t>
  </si>
  <si>
    <t>MY0547078-9A841305260039</t>
  </si>
  <si>
    <t>3449518-9E381305260027</t>
  </si>
  <si>
    <t>MY0547078-8X821305260100</t>
  </si>
  <si>
    <t>MY0547078-9Y981505260013</t>
  </si>
  <si>
    <t>MY0547078-9Z041405260044</t>
  </si>
  <si>
    <t>MY0547078-9Z041405260019</t>
  </si>
  <si>
    <t>MY0547078-9Z231505260144</t>
  </si>
  <si>
    <t>MY0547099-8X821805260106</t>
  </si>
  <si>
    <t>MY0547078-9Z221505260136</t>
  </si>
  <si>
    <t>MY0547099-8X821805260099</t>
  </si>
  <si>
    <t>3449523-9Y521905260007</t>
  </si>
  <si>
    <t>MY0547099-9Y741805260039</t>
  </si>
  <si>
    <t>3449523-9Z031905260158</t>
  </si>
  <si>
    <t>MY0547099-9Y982005260122</t>
  </si>
  <si>
    <t>MY0547099-9Y512005260184</t>
  </si>
  <si>
    <t>MY0547078-9Y511905260082</t>
  </si>
  <si>
    <t>3449523-9Y512205260028</t>
  </si>
  <si>
    <t>3449518-9Z032005260097</t>
  </si>
  <si>
    <t>3449523-9Y742005260171</t>
  </si>
  <si>
    <t>MY0547078-9Z032105260105</t>
  </si>
  <si>
    <t>MY0547099-9Y512505260082</t>
  </si>
  <si>
    <t>3449523-9Y512205260036</t>
  </si>
  <si>
    <t>3449518-9Y512904260036</t>
  </si>
  <si>
    <t>MY0547099-9Y512505260079</t>
  </si>
  <si>
    <t>3449518-9Y510705260068</t>
  </si>
  <si>
    <t>3449518-9E382505260097</t>
  </si>
  <si>
    <t>3448362-9Y982605260010</t>
  </si>
  <si>
    <t>3449523-9Y982505260059</t>
  </si>
  <si>
    <t>3449523-9Y982505260057</t>
  </si>
  <si>
    <t>3449518-9Y742505260062</t>
  </si>
  <si>
    <t>3449518-9Y982605260056</t>
  </si>
  <si>
    <t>MY0547099-9Y512705260010</t>
  </si>
  <si>
    <t>MY0547078-9Y512705260085</t>
  </si>
  <si>
    <t>3449518-9Y512705260092</t>
  </si>
  <si>
    <t>3449518-9Y982605260101</t>
  </si>
  <si>
    <t>M3449523-9Z222805260110</t>
  </si>
  <si>
    <t>MY0547099-9Y510106260090</t>
  </si>
  <si>
    <t>MY0547078-9Z032705260052</t>
  </si>
  <si>
    <t>MY0547078-9A842805260030</t>
  </si>
  <si>
    <t>Pareto graf – PREFIX</t>
  </si>
  <si>
    <t>Filtrovat dle měsíce:</t>
  </si>
  <si>
    <t>Vše</t>
  </si>
  <si>
    <t>← vyberte měsíc nebo nechte 'Vše'</t>
  </si>
  <si>
    <t>Filtrovat dle roku:</t>
  </si>
  <si>
    <t>← vyberte rok nebo nechte 'Vše'</t>
  </si>
  <si>
    <t>Počet MC</t>
  </si>
  <si>
    <t>% podíl</t>
  </si>
  <si>
    <t>Kumulativní %</t>
  </si>
  <si>
    <t>Pořadí</t>
  </si>
  <si>
    <t>#</t>
  </si>
  <si>
    <t>Kum. %</t>
  </si>
  <si>
    <t>Skóre</t>
  </si>
  <si>
    <t>CELKEM</t>
  </si>
  <si>
    <t>Pareto graf – SKLAD</t>
  </si>
  <si>
    <t>3449523-9E380406260066</t>
  </si>
  <si>
    <t>MY0547099-9E380406260120</t>
  </si>
  <si>
    <t>3449523-9Y510406260014</t>
  </si>
  <si>
    <t>3449518-9E380506260052</t>
  </si>
  <si>
    <t>MY0547078-9Z220506260016</t>
  </si>
  <si>
    <t>MY0547099-9Z030406260069</t>
  </si>
  <si>
    <t>MY0547078-8X820506260019</t>
  </si>
  <si>
    <t>MY0547078-8X820506260017</t>
  </si>
  <si>
    <t>3449518-9Y980406260144</t>
  </si>
  <si>
    <t>MY0547078-8X820506260030</t>
  </si>
  <si>
    <t>3449523-9Y520406260085</t>
  </si>
  <si>
    <t>M3449518-9Z220506260036</t>
  </si>
  <si>
    <t>3449518-9Z030406260119</t>
  </si>
  <si>
    <t>3449523-9Y520406260110</t>
  </si>
  <si>
    <t>3449518-9Z030406260070</t>
  </si>
  <si>
    <t>MY0547099-9Z220406260100</t>
  </si>
  <si>
    <t>3449518-9E380506260056</t>
  </si>
  <si>
    <t>MY0547099-9Z030406260066</t>
  </si>
  <si>
    <t>MY0547099-8X820406260118</t>
  </si>
  <si>
    <t>3449523-9Y820506260005</t>
  </si>
  <si>
    <t>MY0547099-9E380506260011</t>
  </si>
  <si>
    <t>MY0547099-8X820406260119</t>
  </si>
  <si>
    <t>3449523-9Y980106260052</t>
  </si>
  <si>
    <t>3449523-8X823105260008</t>
  </si>
  <si>
    <t>MY0547099-9Z030106260056</t>
  </si>
  <si>
    <t>M3448362-9Z220106260008</t>
  </si>
  <si>
    <t>MY0547078-9Z030206260050</t>
  </si>
  <si>
    <t>MY0547078-8X822805260068</t>
  </si>
  <si>
    <t>MY0547099-9Z040206260041</t>
  </si>
  <si>
    <t>MY0547099-9Z040206260038</t>
  </si>
  <si>
    <t>MY0547078-9Z040106260018</t>
  </si>
  <si>
    <t>MY0547078-9Y520506260134</t>
  </si>
  <si>
    <t>MY0547099-9E380506260018</t>
  </si>
  <si>
    <t>MY0547099-9Y520506260035</t>
  </si>
  <si>
    <t>3449523-9Y530506260004</t>
  </si>
  <si>
    <t>3449523-9Z030506260047</t>
  </si>
  <si>
    <t>3448362-8X820806260001</t>
  </si>
  <si>
    <t>MY0547099-9Y820506260051</t>
  </si>
  <si>
    <t>MY0547078-9Y520706260012</t>
  </si>
  <si>
    <t>3449523-9Z030506260034</t>
  </si>
  <si>
    <t>MY0547078-9E380806260037</t>
  </si>
  <si>
    <t>MY0547078-8X820206260036</t>
  </si>
  <si>
    <t>MY0547099-8X820106260086</t>
  </si>
  <si>
    <t>MY0547099-9Y510106260101</t>
  </si>
  <si>
    <t>MY0547099-9Z030106260063</t>
  </si>
  <si>
    <t>3449523-9Z040206260010</t>
  </si>
  <si>
    <t>MY0547099-9Y512805260079</t>
  </si>
  <si>
    <t>MY0547099-9Z040206260125</t>
  </si>
  <si>
    <t>3448362-9Y520306260031</t>
  </si>
  <si>
    <t>MY0547099-9Y520306260031</t>
  </si>
  <si>
    <t>MY0547099-8X820106260082</t>
  </si>
  <si>
    <t>MY0547099-9Y510106260095</t>
  </si>
  <si>
    <t>3449523-9E380406260045</t>
  </si>
  <si>
    <t>3449523-9E380406260070</t>
  </si>
  <si>
    <t>MY0547099-9Z030406260060</t>
  </si>
  <si>
    <t>M3449523-9Z230806260076</t>
  </si>
  <si>
    <t>3449518-9Y980906260017</t>
  </si>
  <si>
    <t>3449523-9Z030506260042</t>
  </si>
  <si>
    <t>MY0547078-9E380906260011</t>
  </si>
  <si>
    <t>3448356-9Y520806260011</t>
  </si>
  <si>
    <t>3449518-9Y740806260102</t>
  </si>
  <si>
    <t>3449518-9Y740806260065</t>
  </si>
  <si>
    <t>3449518-9Y980806260114</t>
  </si>
  <si>
    <t>MY0547078-9A840906260006</t>
  </si>
  <si>
    <t>3449518-9Y740906260031</t>
  </si>
  <si>
    <t>3449523-8X820806260106</t>
  </si>
  <si>
    <t>M3449523-9Z230806260146</t>
  </si>
  <si>
    <t>3448356-9Y520806260021</t>
  </si>
  <si>
    <t>3449523-9Y980806260059</t>
  </si>
  <si>
    <t>M3449523-9Z220806260029</t>
  </si>
  <si>
    <t>MY0547099-9Y520806260034</t>
  </si>
  <si>
    <t>3449518-9Y740806260078</t>
  </si>
  <si>
    <t>3449523-8X820806260109</t>
  </si>
  <si>
    <t>3449518-9E380506260108</t>
  </si>
  <si>
    <t>MY0547099-9Z030906260014</t>
  </si>
  <si>
    <t>MY0547099-8X820806260043</t>
  </si>
  <si>
    <t>3449523-9Y980306260186</t>
  </si>
  <si>
    <t>3449518-9Y520306260044</t>
  </si>
  <si>
    <t>MY0547099-9Y510306260087</t>
  </si>
  <si>
    <t>3449518-9Y980306260086</t>
  </si>
  <si>
    <t>MY0547078-9Y980206260102</t>
  </si>
  <si>
    <t>MY0547078-9Y980406260073</t>
  </si>
  <si>
    <t>3449523-9E380406260058</t>
  </si>
  <si>
    <t>MY0547099-9Y980406260033</t>
  </si>
  <si>
    <t>3449523-9Y510406260024</t>
  </si>
  <si>
    <t>MY0547078-9Z030406260101</t>
  </si>
  <si>
    <t>3449523-9Y510306260014</t>
  </si>
  <si>
    <t>3449523-9Y510206260143</t>
  </si>
  <si>
    <t>OHN2+D3</t>
  </si>
  <si>
    <t>3449523-9E380406260076</t>
  </si>
  <si>
    <t>3449518-9Y510206260169</t>
  </si>
  <si>
    <t>MY0547078-9Y980406260060</t>
  </si>
  <si>
    <t>MY0547099-9Z220406260093</t>
  </si>
  <si>
    <t>3449523-9Y510206260135</t>
  </si>
  <si>
    <t>MY0547099-9Z220306260039</t>
  </si>
  <si>
    <t>MY0547078-9Z030306260039</t>
  </si>
  <si>
    <t>3449518-9Y520306260042</t>
  </si>
  <si>
    <t>3449518-9Y520306260040</t>
  </si>
  <si>
    <t>3449518-8X820406260034</t>
  </si>
  <si>
    <t>MY0547078-9E381006260051</t>
  </si>
  <si>
    <t>MY0547078-9Y521006260042</t>
  </si>
  <si>
    <t>3449523-9Y510906260083</t>
  </si>
  <si>
    <t>3449518-8X820906260098</t>
  </si>
  <si>
    <t>3449518-8X820906260106</t>
  </si>
  <si>
    <t>MY0547099-9Y980906260059</t>
  </si>
  <si>
    <t>MY0547078-9E380906260095</t>
  </si>
  <si>
    <t>MY0547078-9Z040906260053</t>
  </si>
  <si>
    <t>3449518-9E380906260064</t>
  </si>
  <si>
    <t>MY0547099-8X820906260004</t>
  </si>
  <si>
    <t>3448362-8X820906260005</t>
  </si>
  <si>
    <t>3449518-9E380906260058</t>
  </si>
  <si>
    <t>MY0547099-9Y520906260119</t>
  </si>
  <si>
    <t>MY0547078-9Z040906260112</t>
  </si>
  <si>
    <t>MY0547078-9Y740906260074</t>
  </si>
  <si>
    <t>MY0547078-8X820906260068</t>
  </si>
  <si>
    <t>3448362-9Y820806260062</t>
  </si>
  <si>
    <t>3449518-9Y980806260125</t>
  </si>
  <si>
    <t>3449518-9E380906260061</t>
  </si>
  <si>
    <t>MY0547078-9Z040906260052</t>
  </si>
  <si>
    <t>MY0547078-9E380906260089</t>
  </si>
  <si>
    <t>3449518-9Y511006260004</t>
  </si>
  <si>
    <t>MY0547078-9Y521006260005</t>
  </si>
  <si>
    <t>MY0547078-9E381006260052</t>
  </si>
  <si>
    <t>3449523-9Y520106260100</t>
  </si>
  <si>
    <t>MY0547099-9Y740506260047</t>
  </si>
  <si>
    <t>MY0547099-9Z220406260101</t>
  </si>
  <si>
    <t>3449518-9E380506260105</t>
  </si>
  <si>
    <t>MY0547078-9Y520506260119</t>
  </si>
  <si>
    <t>3449518-9Y510506260120</t>
  </si>
  <si>
    <t>3449518-9Y510506260128</t>
  </si>
  <si>
    <t>3449518-9Y510506260126</t>
  </si>
  <si>
    <t>3449518-9Z040506260014</t>
  </si>
  <si>
    <t>MY0547078-9Z030406260098</t>
  </si>
  <si>
    <t>MY0547099-9Y740506260049</t>
  </si>
  <si>
    <t>MY0547078-8X820506260070</t>
  </si>
  <si>
    <t>MY0547078-8X820506260051</t>
  </si>
  <si>
    <t>MY0547078-9Y510506260078</t>
  </si>
  <si>
    <t>3449518-9E380506260076</t>
  </si>
  <si>
    <t>3449518-9E380506260001</t>
  </si>
  <si>
    <t>3449518-9E380406260134</t>
  </si>
  <si>
    <t>MY0547078-9Y510406260040</t>
  </si>
  <si>
    <t>MY0547078-9Y510406260121</t>
  </si>
  <si>
    <t>MY0547078-9Y510406260051</t>
  </si>
  <si>
    <t>MY0547078-9Z220506260001</t>
  </si>
  <si>
    <t>MY0547099-9Y520506260029</t>
  </si>
  <si>
    <t>3449523-9Y530406260130</t>
  </si>
  <si>
    <t>MY0547078-8X820506260049</t>
  </si>
  <si>
    <t>3448362-9A842101260022</t>
  </si>
  <si>
    <t>3448362-9A842101260023</t>
  </si>
  <si>
    <t>MY0547099-9Y522805260131</t>
  </si>
  <si>
    <t>MY0547099-9Y521006260020</t>
  </si>
  <si>
    <t>MY0547078-9Y741106260048</t>
  </si>
  <si>
    <t>MY0547078-9E381006260050</t>
  </si>
  <si>
    <t>3448356-9Y521006260003</t>
  </si>
  <si>
    <t>3449523-9Y521006260067</t>
  </si>
  <si>
    <t>MY0547099-9Y521006260026</t>
  </si>
  <si>
    <t>MY0547078-9Z041006260103</t>
  </si>
  <si>
    <t>3449523-9E381006260063</t>
  </si>
  <si>
    <t>3449518-9Z031006260124</t>
  </si>
  <si>
    <t>3449518-9Y981006260123</t>
  </si>
  <si>
    <t>MY0547078-9E381106260019</t>
  </si>
  <si>
    <t>MY0547078-9E381106260015</t>
  </si>
  <si>
    <t>MY0547099-9Y981006260058</t>
  </si>
  <si>
    <t>3449523-9Y521006260092</t>
  </si>
  <si>
    <t>3449523-9E381006260024</t>
  </si>
  <si>
    <t>MY0547099-9Y981006260060</t>
  </si>
  <si>
    <t>MY0547078-9Z041006260108</t>
  </si>
  <si>
    <t>MY0547078-9E381106260002</t>
  </si>
  <si>
    <t>3449518-9Y981006260121</t>
  </si>
  <si>
    <t>3448362-9Y980306260033</t>
  </si>
  <si>
    <t>3448362-8X820106260017</t>
  </si>
  <si>
    <t>3449518-9Y520806260054</t>
  </si>
  <si>
    <t>MY0547078-9Y520706260008</t>
  </si>
  <si>
    <t>3449523-9Z042805260059</t>
  </si>
  <si>
    <t>3449518-9Y521006260057</t>
  </si>
  <si>
    <t>MY0547078-9E381206260031</t>
  </si>
  <si>
    <t>3449523-9Y511106260021</t>
  </si>
  <si>
    <t>3449518-9Y981106260112</t>
  </si>
  <si>
    <t>3449518-9Y981106260122</t>
  </si>
  <si>
    <t>3449518-9Z041106260069</t>
  </si>
  <si>
    <t>MY0547099-9Y521006260027</t>
  </si>
  <si>
    <t>MY0547078-9Z221106260088</t>
  </si>
  <si>
    <t>3449518-9Y981106260128</t>
  </si>
  <si>
    <t>3449518-9A841106260134</t>
  </si>
  <si>
    <t>3449518-9Y511206260008</t>
  </si>
  <si>
    <t>3449523-9Y511106260022</t>
  </si>
  <si>
    <t>MY0547099-9Y981106260036</t>
  </si>
  <si>
    <t>MY0547078-9Y981106260067</t>
  </si>
  <si>
    <t>3449523-8X820806260113</t>
  </si>
  <si>
    <t>MY0547099-9E380806260024</t>
  </si>
  <si>
    <t>MY0547099-9E380806260016</t>
  </si>
  <si>
    <t>3448362-9Y520806260038</t>
  </si>
  <si>
    <t>MY0547078-9E380806260048</t>
  </si>
  <si>
    <t>MY0547099-9E380806260008</t>
  </si>
  <si>
    <t>MY0547078-9Y980806260069</t>
  </si>
  <si>
    <t>MY0547099-9Y510906260105</t>
  </si>
  <si>
    <t>MY0547099-8X820906260007</t>
  </si>
  <si>
    <t>MY0547099-9Y510906260099</t>
  </si>
  <si>
    <t>MY0547099-8X820906260081</t>
  </si>
  <si>
    <t>MY0547078-9Y741106260050</t>
  </si>
  <si>
    <t>3449523-9Y510906260088</t>
  </si>
  <si>
    <t>3449523-9Z030906260106</t>
  </si>
  <si>
    <t>MY0547078-9Z031506260014</t>
  </si>
  <si>
    <t>3449518-9Y741206260073</t>
  </si>
  <si>
    <t>3449518-9Y741206260148</t>
  </si>
  <si>
    <t>3449523-9E381206260015</t>
  </si>
  <si>
    <t>3448362-9Y741006260021</t>
  </si>
  <si>
    <t>MY0547099-9Y981206260048</t>
  </si>
  <si>
    <t>MY0547099-9Y981206260040</t>
  </si>
  <si>
    <t>MY0547099-9Y981106260037</t>
  </si>
  <si>
    <t>MY0547078-9Y521506260008</t>
  </si>
  <si>
    <t>3449518-9Z041206260155</t>
  </si>
  <si>
    <t>MY0547078-9E381206260123</t>
  </si>
  <si>
    <t>MY0547078-9Y521506260004</t>
  </si>
  <si>
    <t>MY0547099-9E381206260017</t>
  </si>
  <si>
    <t>3449518-9Y980806260136</t>
  </si>
  <si>
    <t>MY0547078-9Y510706260001</t>
  </si>
  <si>
    <t>MY0547099-9Y510806260029</t>
  </si>
  <si>
    <t>3449523-9Y510906260093</t>
  </si>
  <si>
    <t>MY0547078-9Y520906260104</t>
  </si>
  <si>
    <t>3449518-9Y740806260106</t>
  </si>
  <si>
    <t>MY0547078-9Y741106260036</t>
  </si>
  <si>
    <t>MY0547099-9Y980406260038</t>
  </si>
  <si>
    <t>MY0547099-9Y980906260048</t>
  </si>
  <si>
    <t>MY0547078-9Y742605260072</t>
  </si>
  <si>
    <t>MY0547078-9E380906260086</t>
  </si>
  <si>
    <t>MY0547078-9E381206260122</t>
  </si>
  <si>
    <t>3449518-9Y980806260139</t>
  </si>
  <si>
    <t>MY0547099-9Y511006260040</t>
  </si>
  <si>
    <t>3449523-9Y521006260095</t>
  </si>
  <si>
    <t>MY0547078-9E381506260072</t>
  </si>
  <si>
    <t>MY0547078-9Z031606260045</t>
  </si>
  <si>
    <t>3449518-9Y521506260075</t>
  </si>
  <si>
    <t>MY0547099-9Y741506260078</t>
  </si>
  <si>
    <t>MY0547099-8X821506260036</t>
  </si>
  <si>
    <t>M3449518-9Z221506260057</t>
  </si>
  <si>
    <t>MY0547099-9E381506260049</t>
  </si>
  <si>
    <t>3449518-9Y521506260093</t>
  </si>
  <si>
    <t>3449518-9Y521506260086</t>
  </si>
  <si>
    <t>3449518-9Y981606260043</t>
  </si>
  <si>
    <t>MY0547078-9E381506260115</t>
  </si>
  <si>
    <t>MY0547078-9Y741506260113</t>
  </si>
  <si>
    <t>MY0547078-9E381206260115</t>
  </si>
  <si>
    <t>MY0547078-9E381506260068</t>
  </si>
  <si>
    <t>MY0547078-9E381506260076</t>
  </si>
  <si>
    <t>3449518-9Y521506260184</t>
  </si>
  <si>
    <t>MY0547078-9Y981506260108</t>
  </si>
  <si>
    <t>3449518-9Z041506260197</t>
  </si>
  <si>
    <t>3449518-8X821506260127</t>
  </si>
  <si>
    <t>MY0547078-9Y511106260023</t>
  </si>
  <si>
    <t>3449518-9Z031106260004</t>
  </si>
  <si>
    <t>3449518-9Z041106260074</t>
  </si>
  <si>
    <t>3449523-9Y981106260015</t>
  </si>
  <si>
    <t>3449523-9Y511106260032</t>
  </si>
  <si>
    <t>MY0547099-9Z041106260025</t>
  </si>
  <si>
    <t>MY0547078-9Z031006260069</t>
  </si>
  <si>
    <t>MY0547078-9Z221006260017</t>
  </si>
  <si>
    <t>MY0547099-9Z041106260027</t>
  </si>
  <si>
    <t>MY0547078-9Y521006260094</t>
  </si>
  <si>
    <t>MY0547099-9Y520906260117</t>
  </si>
  <si>
    <t>3449518-9Y521006260059</t>
  </si>
  <si>
    <t>MY0547078-9Z041206260089</t>
  </si>
  <si>
    <t>MY0547099-9E381606260080</t>
  </si>
  <si>
    <t>3449523-9Y521606260084\</t>
  </si>
  <si>
    <t>3448362-9Y511606260005</t>
  </si>
  <si>
    <t>3449523-9E381706260004</t>
  </si>
  <si>
    <t>MY0547099-9Y981606260129</t>
  </si>
  <si>
    <t>3449523-9Z031706260021</t>
  </si>
  <si>
    <t>3449523-9Z031706260022</t>
  </si>
  <si>
    <t>3449523-9E381706260041</t>
  </si>
  <si>
    <t>MY0547099-9Y521606260019</t>
  </si>
  <si>
    <t>3449523-9Y981606260122</t>
  </si>
  <si>
    <t>3449523-9Y981606260024</t>
  </si>
  <si>
    <t>MY0547099-9Y981606260036</t>
  </si>
  <si>
    <t>3449523-9Z031706260030</t>
  </si>
  <si>
    <t>3449518-9E381606260127</t>
  </si>
  <si>
    <t>MY0547078-9E381606260067</t>
  </si>
  <si>
    <t>3449523-9E381606260043</t>
  </si>
  <si>
    <t>MY0547099-9E381606260021</t>
  </si>
  <si>
    <t>3448362-9Y741606260015</t>
  </si>
  <si>
    <t>MY0547078-9Y741606260120</t>
  </si>
  <si>
    <t>MY0547078-9Y981606260114</t>
  </si>
  <si>
    <t>3448362-9Y981706260018</t>
  </si>
  <si>
    <t>MY0547099-9Z031606260093</t>
  </si>
  <si>
    <t>3449518-9Z031606260136</t>
  </si>
  <si>
    <t>MY0547078-8X821606260056</t>
  </si>
  <si>
    <t>3449523-9E381706260005</t>
  </si>
  <si>
    <t>MY0547099-9Y521606260125</t>
  </si>
  <si>
    <t>3449518-9Z040506260020</t>
  </si>
  <si>
    <t>3449523-9Y981106260008</t>
  </si>
  <si>
    <t>3449518-9Y511206260013</t>
  </si>
  <si>
    <t>3449523-9Y981106260011</t>
  </si>
  <si>
    <t>3449523-9Y981106260009</t>
  </si>
  <si>
    <t>MY0547078-9Y511106260025</t>
  </si>
  <si>
    <t>MY0547078-9Y511106260020</t>
  </si>
  <si>
    <t>3449518-9Z031006260157</t>
  </si>
  <si>
    <t>3449518-9E381206260120</t>
  </si>
  <si>
    <t>3449518-9Y521206260026</t>
  </si>
  <si>
    <t>3449518-9Y741206260093</t>
  </si>
  <si>
    <t>MY0547078-8X821206260033</t>
  </si>
  <si>
    <t>MY0547078-9Y741806260015</t>
  </si>
  <si>
    <t>3448356-9Y981706260011</t>
  </si>
  <si>
    <t>3449518-9Y981706260100</t>
  </si>
  <si>
    <t>MY0547078-9Y521706260025</t>
  </si>
  <si>
    <t>MY0547078-9E381706260046</t>
  </si>
  <si>
    <t>MY0547078-9E381706260050</t>
  </si>
  <si>
    <t>3448356-9Y981706260019</t>
  </si>
  <si>
    <t>MY0547078-9E381706260054</t>
  </si>
  <si>
    <t>3449523-9Y981706260142</t>
  </si>
  <si>
    <t>MY0547078-9Y511706260100</t>
  </si>
  <si>
    <t>3449523-9Y981706260131</t>
  </si>
  <si>
    <t>3449523-9Y521706260128</t>
  </si>
  <si>
    <t>3449518-9Y531706260127</t>
  </si>
  <si>
    <t>3449523-9Y981706260136</t>
  </si>
  <si>
    <t>MY0547099-9Y511706260079</t>
  </si>
  <si>
    <t>MY0547099-9E381706260061</t>
  </si>
  <si>
    <t>3449518-9Y981706260117</t>
  </si>
  <si>
    <t>3449523-9Y981706260149</t>
  </si>
  <si>
    <t>3449523-9Y981706260160</t>
  </si>
  <si>
    <t>M3448356-9Z221806260006</t>
  </si>
  <si>
    <t>3449518-8X821806260012</t>
  </si>
  <si>
    <t>MY0547099-9Z231806260008</t>
  </si>
  <si>
    <t>MY0547078-8X821806260020</t>
  </si>
  <si>
    <t>KURL18062602460030****M3449521-GS*******</t>
  </si>
  <si>
    <t>3449518-9Y741206260070</t>
  </si>
  <si>
    <t>MY0547099-9Y511506260071</t>
  </si>
  <si>
    <t>MY0547078-9Y511506260084</t>
  </si>
  <si>
    <t>3449523-9Z041506260080</t>
  </si>
  <si>
    <t>MY0547078-9Y511506260082</t>
  </si>
  <si>
    <t>3448356-8X821006260045</t>
  </si>
  <si>
    <t>MY0547078-9Y981806260069</t>
  </si>
  <si>
    <t>MY0547078-9Y511806260130</t>
  </si>
  <si>
    <t>MY0547078-9Y981806260076</t>
  </si>
  <si>
    <t>MY0547078-9Y741806260063</t>
  </si>
  <si>
    <t>MY0547099-9Z031906260046</t>
  </si>
  <si>
    <t>3449523-9Y521706260123</t>
  </si>
  <si>
    <t>MY0547078-9Z041806260103</t>
  </si>
  <si>
    <t>MY0547078-9Y741706260092</t>
  </si>
  <si>
    <t>3449523-9Z041806260136</t>
  </si>
  <si>
    <t>MY0547078-9Y511806260126</t>
  </si>
  <si>
    <t>MY0547099-9Z031906260043</t>
  </si>
  <si>
    <t>3449523-9Y981606260027</t>
  </si>
  <si>
    <t>MY0547099-9E381606260020</t>
  </si>
  <si>
    <t>3449518-9E381606260114</t>
  </si>
  <si>
    <t>3449518-9Y981506260031</t>
  </si>
  <si>
    <t>3449518-8X821506260129</t>
  </si>
  <si>
    <t>3449518-9Y521506260108</t>
  </si>
  <si>
    <t>3449518-9Y981506260002</t>
  </si>
  <si>
    <t>MY0547078-9Y521606260024</t>
  </si>
  <si>
    <t>MY0547078-9Y981506260125</t>
  </si>
  <si>
    <t>3449518-8X821506260136</t>
  </si>
  <si>
    <t>3448356-9Y522206260024</t>
  </si>
  <si>
    <t>M3449518-9Z232106260010</t>
  </si>
  <si>
    <t>MY0547078-9Y522106260006</t>
  </si>
  <si>
    <t>M3449518-9Z222206260048</t>
  </si>
  <si>
    <t>MY0547099-9E381906260077</t>
  </si>
  <si>
    <t>MY0547099-9Y511906260094</t>
  </si>
  <si>
    <t>MY0547099-9Y521906260108</t>
  </si>
  <si>
    <t>3449518-9E381906260096</t>
  </si>
  <si>
    <t>3449523-9Z031906260136</t>
  </si>
  <si>
    <t>3449518-9Y981806260089</t>
  </si>
  <si>
    <t>3449523-9Y521906260142</t>
  </si>
  <si>
    <t>MY0547099-9Y521906260124</t>
  </si>
  <si>
    <t>MY0547078-9E381906260076</t>
  </si>
  <si>
    <t>MY0547078-8X821906260071</t>
  </si>
  <si>
    <t>MY0547078-9E381906260017</t>
  </si>
  <si>
    <t>3448356-9Y521906260016</t>
  </si>
  <si>
    <t>MY0547099-9E381706260054</t>
  </si>
  <si>
    <t>MY0547099-9E381606260057#</t>
  </si>
  <si>
    <t>MY0547078-9E381606260068</t>
  </si>
  <si>
    <t>MY0547078-9Z031506260023</t>
  </si>
  <si>
    <t>MY0547078-9E381606260065</t>
  </si>
  <si>
    <t>MY0547078-9E381606260063</t>
  </si>
  <si>
    <t>3449523-9E381606260040</t>
  </si>
  <si>
    <t>MY0547099-9Z041806260070</t>
  </si>
  <si>
    <t>MY0547099-9Y981906260137</t>
  </si>
  <si>
    <t>MY0547099-9Z041806260072</t>
  </si>
  <si>
    <t>MY0547099-9Y981906260138</t>
  </si>
  <si>
    <t>3448356-9Y511506260025</t>
  </si>
  <si>
    <t>3449518-9Y981606260069</t>
  </si>
  <si>
    <t>MY0547099-9Z221606260044</t>
  </si>
  <si>
    <t>MY0547099-9Y521606260010</t>
  </si>
  <si>
    <t>MY0547099-9Y521606260015</t>
  </si>
  <si>
    <t>3448356-9Y511506260014</t>
  </si>
  <si>
    <t>MY0547099-9Y981706260011</t>
  </si>
  <si>
    <t>MY0547099-9Y981906260141</t>
  </si>
  <si>
    <t>3448362-9Y982206260006</t>
  </si>
  <si>
    <t>3449518-9Z042306260047</t>
  </si>
  <si>
    <t>3449518-9Y982206260137</t>
  </si>
  <si>
    <t>MY0547078-9E382306260045</t>
  </si>
  <si>
    <t>MY0547078-9Z042206260066</t>
  </si>
  <si>
    <t>MY0547099-9Y512206260058</t>
  </si>
  <si>
    <t>MY0547078-9A842206260002</t>
  </si>
  <si>
    <t>3448356-9Y982206260032</t>
  </si>
  <si>
    <t>3449518-9Y512206260115</t>
  </si>
  <si>
    <t>MY0547078-9Y511806260129</t>
  </si>
  <si>
    <t>3449523-9Z031706260028</t>
  </si>
  <si>
    <t>3448356-9Y981706260023</t>
  </si>
  <si>
    <t>MY0547078-9Y511806260133</t>
  </si>
  <si>
    <t>3449518-9Y521506260098</t>
  </si>
  <si>
    <t>3449518-9E381606260092</t>
  </si>
  <si>
    <t>3449518-8X821506260135</t>
  </si>
  <si>
    <t>MY0547099-9Z041706260008</t>
  </si>
  <si>
    <t>3449518-9E381606260095</t>
  </si>
  <si>
    <t>3448356-8X821506260062</t>
  </si>
  <si>
    <t>MY0547099-9Y981906260127</t>
  </si>
  <si>
    <t>MY0547099-9Z041806260071</t>
  </si>
  <si>
    <t>3448362-9Y741606260012</t>
  </si>
  <si>
    <t>MY0547099-9A841906260161</t>
  </si>
  <si>
    <t>MY0547078-8X821806260011</t>
  </si>
  <si>
    <t>MY0547078-8X821806260007</t>
  </si>
  <si>
    <t>MY0547099-9Y521806260100</t>
  </si>
  <si>
    <t>MY0547099-9Y521806260097</t>
  </si>
  <si>
    <t>MY0547099-9Y981806260095</t>
  </si>
  <si>
    <t>3449523-9Y981606260104</t>
  </si>
  <si>
    <t>MY0547099-9E381206260018</t>
  </si>
  <si>
    <t>3448356-9Y521506260023</t>
  </si>
  <si>
    <t>MY0547099-9Z041806260075</t>
  </si>
  <si>
    <t>MY0547099-9Y511906260092</t>
  </si>
  <si>
    <t>3449518-9E381706260109</t>
  </si>
  <si>
    <t>3449518-9Y511606260032</t>
  </si>
  <si>
    <t>MY0547078-9E381606260096</t>
  </si>
  <si>
    <t>MY0547078-9Y521706260011</t>
  </si>
  <si>
    <t>MY0547078-9E381606260098</t>
  </si>
  <si>
    <t>3449518-9E381206260117</t>
  </si>
  <si>
    <t>3449518-9E381606260100</t>
  </si>
  <si>
    <t>MY0547099-9E382306260025</t>
  </si>
  <si>
    <t>MY0547078-9Z222306260082</t>
  </si>
  <si>
    <t>MY0547078-9E382306260124</t>
  </si>
  <si>
    <t>3449523-9Y982306260138</t>
  </si>
  <si>
    <t>3449523-9Y982306260041</t>
  </si>
  <si>
    <t>MY0547078-9E382306260132</t>
  </si>
  <si>
    <t>MY0547078-9Y512306260069</t>
  </si>
  <si>
    <t>MY0547099-9Y512406260018</t>
  </si>
  <si>
    <t>3448362-9Y982306260022</t>
  </si>
  <si>
    <t>MY0547078-9Y742306260076</t>
  </si>
  <si>
    <t>3449523-9E382406260014</t>
  </si>
  <si>
    <t>MY0547078-9E382306260136</t>
  </si>
  <si>
    <t>MY0547099-9E381906260059</t>
  </si>
  <si>
    <t>3449523-9Y511706260090</t>
  </si>
  <si>
    <t>3448356-9Y511506260010</t>
  </si>
  <si>
    <t>3449523-9Y981706260135</t>
  </si>
  <si>
    <t>MY0547078-9Y521806260017</t>
  </si>
  <si>
    <t>3449523-9Y981706260140</t>
  </si>
  <si>
    <t>3449523-9Y981706260130</t>
  </si>
  <si>
    <t>MY0547078-9Y512306260058</t>
  </si>
  <si>
    <t>MY0547078-9E381706260124</t>
  </si>
  <si>
    <t>MY0547078-9Y512306260051</t>
  </si>
  <si>
    <t>MY0547099-9Y521906260111</t>
  </si>
  <si>
    <t>3449523-9E381706260011</t>
  </si>
  <si>
    <t>MY0547078-9Y981706260058</t>
  </si>
  <si>
    <t>MY0547078-9E381706260047</t>
  </si>
  <si>
    <t>MY0547078-9E381706260045</t>
  </si>
  <si>
    <t>3449518-9A841706260162</t>
  </si>
  <si>
    <t>MY0547078-9Y512306260059</t>
  </si>
  <si>
    <t>MY0547078-9Y511706260096</t>
  </si>
  <si>
    <t>3449518-9Y521806260038</t>
  </si>
  <si>
    <t>MY0547078-9Z031806260028</t>
  </si>
  <si>
    <t>3449523-9E381706260009</t>
  </si>
  <si>
    <t>MY0547078-9E382306260039</t>
  </si>
  <si>
    <t>MY0547078-9Z031806260032</t>
  </si>
  <si>
    <t>MY0547099-9Y521706260087</t>
  </si>
  <si>
    <t>MY0547099-9Y982206260071</t>
  </si>
  <si>
    <t>MY0547099-9Z041906260026</t>
  </si>
  <si>
    <t>MY0547099-9Y511906260086</t>
  </si>
  <si>
    <t>MY0547099-9Y982206260070</t>
  </si>
  <si>
    <t>MY0547099-9Y981606260126</t>
  </si>
  <si>
    <t>MY0547099-9Y981706260004</t>
  </si>
  <si>
    <t>MY0547078-9Y511806260134</t>
  </si>
  <si>
    <t>3448356-9Y982506260015</t>
  </si>
  <si>
    <t>MY0547078-9Y522406260127</t>
  </si>
  <si>
    <t>3449523-9Y982406260118</t>
  </si>
  <si>
    <t>MY0547078-9Z042406260059</t>
  </si>
  <si>
    <t>MY0547099-9Y982406260086</t>
  </si>
  <si>
    <t>MY0547078-9Z222306260083</t>
  </si>
  <si>
    <t>MY0547078-8X822406260070</t>
  </si>
  <si>
    <t>3449523-9Y512406260121</t>
  </si>
  <si>
    <t>MY0547078-9E382406260019</t>
  </si>
  <si>
    <t>MY0547078-8X822406260030</t>
  </si>
  <si>
    <t>MY0547078-9Y512406260033</t>
  </si>
  <si>
    <t>3449518-9E382506260015</t>
  </si>
  <si>
    <t>MY0547078-8X822406260076</t>
  </si>
  <si>
    <t>MY0547078-9Z042406260062</t>
  </si>
  <si>
    <t>MY0547099-8X822306260109</t>
  </si>
  <si>
    <t>MY0547078-9E381706260040</t>
  </si>
  <si>
    <t>MY0547078-9E381706260035</t>
  </si>
  <si>
    <t>MY0547078-9Y511806260052</t>
  </si>
  <si>
    <t>3449518-9E381706260019</t>
  </si>
  <si>
    <t>3449518-9Z032306260058</t>
  </si>
  <si>
    <t>MY0547099-9E381806260027</t>
  </si>
  <si>
    <t>MY0547078-9Y512406260067</t>
  </si>
  <si>
    <t>MY0547078-9Y512406260054</t>
  </si>
  <si>
    <t>3448356-9Y521906260007</t>
  </si>
  <si>
    <t>MY0547099-9Z031906260165</t>
  </si>
  <si>
    <t>MY0547099-9E381706260046</t>
  </si>
  <si>
    <t>MY0547099-9E381906260062</t>
  </si>
  <si>
    <t>3449523-9Z032506260123</t>
  </si>
  <si>
    <t>3449523-9Y522506260078</t>
  </si>
  <si>
    <t>MY0547078-9E382506260094</t>
  </si>
  <si>
    <t>3448362-9Y982506260042</t>
  </si>
  <si>
    <t>3449518-9Y512506260064</t>
  </si>
  <si>
    <t>MY0547099-9Z042406260102</t>
  </si>
  <si>
    <t>3449518-9Y522506260094</t>
  </si>
  <si>
    <t>3448362-9Y522506260022</t>
  </si>
  <si>
    <t>3449518-9Y512506260049</t>
  </si>
  <si>
    <t>MY0547099-9Y532506260018</t>
  </si>
  <si>
    <t>3449518-9Y512506260063</t>
  </si>
  <si>
    <t>MY0547078-9Y982506260102</t>
  </si>
  <si>
    <t>MY0547078-9Y522606260009</t>
  </si>
  <si>
    <t>MY0547078-9Y982506260100</t>
  </si>
  <si>
    <t>MY0547078-9E382506260087</t>
  </si>
  <si>
    <t>MY0547078-9Z221906260064</t>
  </si>
  <si>
    <t>MY0547099-9E382506260001</t>
  </si>
  <si>
    <t>3449518-9Y981706260121</t>
  </si>
  <si>
    <t>3449518-9Y981706260097</t>
  </si>
  <si>
    <t>3449518-9Y521706260136</t>
  </si>
  <si>
    <t>MY0547099-9Y522406260044</t>
  </si>
  <si>
    <t>MY0547078-8X822406260077</t>
  </si>
  <si>
    <t>MY0547078-9Z032206260049</t>
  </si>
  <si>
    <t>3449523-9Y512306260024</t>
  </si>
  <si>
    <t>3449523-9A842406260063</t>
  </si>
  <si>
    <t>MY0547099-9Z222206260019</t>
  </si>
  <si>
    <t>3449523-9Y981906260068</t>
  </si>
  <si>
    <t>MY0547099-9Y522406260043</t>
  </si>
  <si>
    <t>MY0547078-9Y521906260030</t>
  </si>
  <si>
    <t>MY0547099-9E382406260109</t>
  </si>
  <si>
    <t>MY0547099-9Z042406260113</t>
  </si>
  <si>
    <t>MY0547078-9A842206260081</t>
  </si>
  <si>
    <t>MY0547099-9E381906260082</t>
  </si>
  <si>
    <t>MY0547099-9Y522306260010</t>
  </si>
  <si>
    <t>MY0547078-9Z231906260055</t>
  </si>
  <si>
    <t>3448356-9Y522406260019</t>
  </si>
  <si>
    <t>MY0547078-9Z222306260133</t>
  </si>
  <si>
    <t>3449523-8X822906260029</t>
  </si>
  <si>
    <t>MY0547099-9E382606260107</t>
  </si>
  <si>
    <t>MY0547099-9Z042606260069</t>
  </si>
  <si>
    <t>MY0547099-9E382606260113</t>
  </si>
  <si>
    <t>3449523-8X822906260035</t>
  </si>
  <si>
    <t>MY0547099-9Y512606260125</t>
  </si>
  <si>
    <t>3449523-8X822906260025</t>
  </si>
  <si>
    <t>3449523-8X822906260027</t>
  </si>
  <si>
    <t>MY0547099-9Y982906260012</t>
  </si>
  <si>
    <t>MY0547078-9E382606260013</t>
  </si>
  <si>
    <t>MY0547078-9E382606260017</t>
  </si>
  <si>
    <t>MY0547078-9E382606260025</t>
  </si>
  <si>
    <t>MY0547099-9Z032906260021</t>
  </si>
  <si>
    <t>M3449523-9Z222806260018</t>
  </si>
  <si>
    <t>3449523-8X822906260037</t>
  </si>
  <si>
    <t>MY0547099-9E382606260083</t>
  </si>
  <si>
    <t>3449523-9E382906260047</t>
  </si>
  <si>
    <t>MY0547078-9Y512406260108</t>
  </si>
  <si>
    <t>MY0547078-9E382306260130</t>
  </si>
  <si>
    <t>MY0547078-9E382306260131</t>
  </si>
  <si>
    <t>MY0547078-9E382306260129</t>
  </si>
  <si>
    <t>MY0547078-9Y982306260008</t>
  </si>
  <si>
    <t>3448356-9Y981806260012</t>
  </si>
  <si>
    <t>3448356-9Y981806260011</t>
  </si>
  <si>
    <t>3448356-9Y981806260013</t>
  </si>
  <si>
    <t>3448356-9Y981806260010</t>
  </si>
  <si>
    <t>3448356-9Y981906260008</t>
  </si>
  <si>
    <t>3449518-9Y981706260129</t>
  </si>
  <si>
    <t>MY0547099-9Y522606260026</t>
  </si>
  <si>
    <t>MY0547099-9Z032506260057</t>
  </si>
  <si>
    <t>3449523-9Y511906260030</t>
  </si>
  <si>
    <t>MY0547078-8X821906260072</t>
  </si>
  <si>
    <t>3449523-9Y511906260025</t>
  </si>
  <si>
    <t>MY0547099-9Y532506260013</t>
  </si>
  <si>
    <t>MY0547078-9Y522206260132</t>
  </si>
  <si>
    <t>MY0547078-9E382506260073</t>
  </si>
  <si>
    <t>3449523-9E381806260146</t>
  </si>
  <si>
    <t>3448362-9Y981706260006</t>
  </si>
  <si>
    <t>3448356-9Y522406260022</t>
  </si>
  <si>
    <t>MY0547099-9E382506260009</t>
  </si>
  <si>
    <t>3448362-8X822306260037</t>
  </si>
  <si>
    <t>MY0547099-9E382206260030</t>
  </si>
  <si>
    <t>MY0547078-9E382106260018</t>
  </si>
  <si>
    <t>MY0547099-9E382506260004</t>
  </si>
  <si>
    <t>MY0547078-9Y512206260003</t>
  </si>
  <si>
    <t>MY0547099-9E382606260087</t>
  </si>
  <si>
    <t>MY0547078-9Y822206260010</t>
  </si>
  <si>
    <t>MY0547099-9E381806260045</t>
  </si>
  <si>
    <t>3449523-9E382406260034</t>
  </si>
  <si>
    <t>MY0547099-9E381806260040</t>
  </si>
  <si>
    <t>3449523-9Z031906260138</t>
  </si>
  <si>
    <t>M3449523-9Z221806260020</t>
  </si>
  <si>
    <t>MY0547099-9Y512506260117</t>
  </si>
  <si>
    <t>MY0547099-9E382506260007</t>
  </si>
  <si>
    <t>MY0547099-9Y981906260139</t>
  </si>
  <si>
    <t>3448356-9Y522206260018</t>
  </si>
  <si>
    <t>3449523-9Z031706260017</t>
  </si>
  <si>
    <t>3449523-9E381706260032</t>
  </si>
  <si>
    <t>3449518-9A841706260172</t>
  </si>
  <si>
    <t>MY0547078-9Y522406260125</t>
  </si>
  <si>
    <t>MY0547078-9Y522406260121</t>
  </si>
  <si>
    <t>MY0547078-9Y812406260139</t>
  </si>
  <si>
    <t>MY0547099-8X821906260152</t>
  </si>
  <si>
    <t>MY0547099-9Y512206260054</t>
  </si>
  <si>
    <t>MY0547099-9Y512206260055</t>
  </si>
  <si>
    <t>3449518-9Y512206260151</t>
  </si>
  <si>
    <t>3449518-9Y512206260153</t>
  </si>
  <si>
    <t>MY0547078-9Y521506260007</t>
  </si>
  <si>
    <t>3449518-9E382206260098</t>
  </si>
  <si>
    <t>M3449518-9Z222206260060</t>
  </si>
  <si>
    <t>MY0547099-9Y742206260067</t>
  </si>
  <si>
    <t>3448356-9Y981706260002</t>
  </si>
  <si>
    <t>MY0547099-9Y522306260098</t>
  </si>
  <si>
    <t>MY0547099-9E381806260039</t>
  </si>
  <si>
    <t>MY0547099-9Y511906260104</t>
  </si>
  <si>
    <t>MY0547099-9E381606260057</t>
  </si>
  <si>
    <t>MY0547078-9E382906260059</t>
  </si>
  <si>
    <t>MY0547099-9E382906260079</t>
  </si>
  <si>
    <t>MY0547099-9Y512906260099</t>
  </si>
  <si>
    <t>MY0547099-9E382906260077</t>
  </si>
  <si>
    <t>MY0547099-9E382906260083</t>
  </si>
  <si>
    <t>MY0547099-9E382906260074</t>
  </si>
  <si>
    <t>MY0547099-9E382906260067</t>
  </si>
  <si>
    <t>3449523-9E382906260102</t>
  </si>
  <si>
    <t>MY0547099-8X822906260056</t>
  </si>
  <si>
    <t>MY0547078-9E382906260053</t>
  </si>
  <si>
    <t>M3449518-9Z222906260053</t>
  </si>
  <si>
    <t>3449523-9E382906260106</t>
  </si>
  <si>
    <t>3449523-9Y523006260028</t>
  </si>
  <si>
    <t>MY0547099-9Z233006260016</t>
  </si>
  <si>
    <t>3449523-9Y513006260006</t>
  </si>
  <si>
    <t>MY0547099-9E382306260023</t>
  </si>
  <si>
    <t>MY0547078-9Y742106260005</t>
  </si>
  <si>
    <t>MY0547099-9E382606260077</t>
  </si>
  <si>
    <t>MY0547078-9Y512206260095</t>
  </si>
  <si>
    <t>MY0547078-9Y742506260030</t>
  </si>
  <si>
    <t>3448362-9Y982206260008</t>
  </si>
  <si>
    <t>MY0547099-9Y982606260041</t>
  </si>
  <si>
    <t>MY0547078-9Y521906260038</t>
  </si>
  <si>
    <t>MY0547078-9Y982506260041</t>
  </si>
  <si>
    <t>3449523-9Y521906260129</t>
  </si>
  <si>
    <t>3448356-9Y513006260009</t>
  </si>
  <si>
    <t>MY0547078-9E380107260028</t>
  </si>
  <si>
    <t>3448362-9Y513006260012</t>
  </si>
  <si>
    <t>3449518-9E383006260046</t>
  </si>
  <si>
    <t>3449518-9E383006260024</t>
  </si>
  <si>
    <t>MY0547078-9Y513006260052</t>
  </si>
  <si>
    <t>MY0547078-8X823006260002</t>
  </si>
  <si>
    <t>MY0547078-8X820107260022</t>
  </si>
  <si>
    <t>3449518-9Y513006260055</t>
  </si>
  <si>
    <t>MY0547078-9E382906260052</t>
  </si>
  <si>
    <t>3448356-9Y513006260001</t>
  </si>
  <si>
    <t>3448356-9Y513006260013</t>
  </si>
  <si>
    <t>3448356-9Y513006260014</t>
  </si>
  <si>
    <t>M3449518-9Z223006260009</t>
  </si>
  <si>
    <t>MY0547078-9E382506260069</t>
  </si>
  <si>
    <t>MY0547078-9E382506260066</t>
  </si>
  <si>
    <t>MY0547099-9Y512506260034</t>
  </si>
  <si>
    <t>3449518-9Y982206260132</t>
  </si>
  <si>
    <t>MY0547099-9Y982906260026</t>
  </si>
  <si>
    <t>MY0547099-9Y982906260015</t>
  </si>
  <si>
    <t>MY0547099-9Y982906260025</t>
  </si>
  <si>
    <t>MY0547078-9E382506260070</t>
  </si>
  <si>
    <t>3449523-9Y512306260016</t>
  </si>
  <si>
    <t>MY0547099-9Y983006260050</t>
  </si>
  <si>
    <t>3449518-9E382406260143</t>
  </si>
  <si>
    <t>MY0547099-9Z032906260018</t>
  </si>
  <si>
    <t>MY0547099-9Y982906260127</t>
  </si>
  <si>
    <t>MY0547099-9Y982606260044</t>
  </si>
  <si>
    <t>3449523-9Y521906260127</t>
  </si>
  <si>
    <t>3449523-9Y742506260153</t>
  </si>
  <si>
    <t>MY0547099-9Y982906260016</t>
  </si>
  <si>
    <t>MY0547099-9Z042306260063</t>
  </si>
  <si>
    <t>MY0547099-9Y982906260010</t>
  </si>
  <si>
    <t>MY0547099-9Y982906260058</t>
  </si>
  <si>
    <t>MY0547078-9E382506260074</t>
  </si>
  <si>
    <t>MY0547078-9E382506260075</t>
  </si>
  <si>
    <t>3449518-9Y982206260155</t>
  </si>
  <si>
    <t>MY0547078-9Y522506260126</t>
  </si>
  <si>
    <t>MY0547078-9Z042506260051</t>
  </si>
  <si>
    <t>MY0547078-9Y522506260132</t>
  </si>
  <si>
    <t>MY0547099-9Y983006260049</t>
  </si>
  <si>
    <t>MY0547078-9Z042506260050</t>
  </si>
  <si>
    <t>MY0547078-9E380207260007</t>
  </si>
  <si>
    <t>MY0547099-8X820107260143</t>
  </si>
  <si>
    <t>3449518-9E380107260078</t>
  </si>
  <si>
    <t>3449523-9Y980107260061</t>
  </si>
  <si>
    <t>MY0547099-9E380107260033</t>
  </si>
  <si>
    <t>3449523-9E380107260090</t>
  </si>
  <si>
    <t>MY0547078-9Y513006260053</t>
  </si>
  <si>
    <t>MY0547099-9Z040107260166</t>
  </si>
  <si>
    <t>MY0547099-9Y980107260040</t>
  </si>
  <si>
    <t>MY0547099-8X82250626010</t>
  </si>
  <si>
    <t>MY0547078-9Y512606260058</t>
  </si>
  <si>
    <t>3449518-8X822406260011</t>
  </si>
  <si>
    <t>MY0547099-9Y980107260127</t>
  </si>
  <si>
    <t>3449523-9Y512606260073</t>
  </si>
  <si>
    <t>3449518-9Y982306260014</t>
  </si>
  <si>
    <t>MY0547078-9A842406260082</t>
  </si>
  <si>
    <t>3449523-9Y511906260032</t>
  </si>
  <si>
    <t>MY0547099-9Y982906260132</t>
  </si>
  <si>
    <t>MY0547099-9Y522506260076</t>
  </si>
  <si>
    <t>MY0547099-8X822506260097</t>
  </si>
  <si>
    <t>3449523-9Y512606260070</t>
  </si>
  <si>
    <t>MY0547099-9Y523006260047</t>
  </si>
  <si>
    <t>MY0547099-9Y520107260074</t>
  </si>
  <si>
    <t>MY0547099-9E382606260110</t>
  </si>
  <si>
    <t>3449523-9Y982806260003</t>
  </si>
  <si>
    <t>MY0547099-9E382406260116</t>
  </si>
  <si>
    <t>3449523-9Y512606260062</t>
  </si>
  <si>
    <t>3449523-9Y982606260111</t>
  </si>
  <si>
    <t>3448356-9Y982206260033</t>
  </si>
  <si>
    <t>MY0547078-9Z042506260053</t>
  </si>
  <si>
    <t>3448362-9E383006260004</t>
  </si>
  <si>
    <t>MY0547099-9Y523006260042</t>
  </si>
  <si>
    <t>3448362-9E383006260003</t>
  </si>
  <si>
    <t>MY0547099-9E382406260128</t>
  </si>
  <si>
    <t>MY0547078-9Y512406260096</t>
  </si>
  <si>
    <t>MY0547078-9Y512406260094</t>
  </si>
  <si>
    <t>MY0547099-9Z042306260053</t>
  </si>
  <si>
    <t>MY0547099-9Y523006260039</t>
  </si>
  <si>
    <t>MY0547078-9Z042506260052</t>
  </si>
  <si>
    <t>MY0547099-9E380107260098</t>
  </si>
  <si>
    <t>MY0547099-9E382606260100</t>
  </si>
  <si>
    <t>MY0547078-9Y510107260001</t>
  </si>
  <si>
    <t>3449523-9Y522306260087</t>
  </si>
  <si>
    <t>MY0547099-9Y523006260044</t>
  </si>
  <si>
    <t>MY0547078-9Y520307260008</t>
  </si>
  <si>
    <t>3449518-9Y510307260004</t>
  </si>
  <si>
    <t>MY0547078-9Y520207260170</t>
  </si>
  <si>
    <t>MY0547099-9Y520207260075</t>
  </si>
  <si>
    <t>MY0547078-8X820307260020</t>
  </si>
  <si>
    <t>MY0547078-9Y980207260087</t>
  </si>
  <si>
    <t>3449518-9Y980207260059</t>
  </si>
  <si>
    <t>3449518-9E380207260156</t>
  </si>
  <si>
    <t>3448356-9Y980207260028</t>
  </si>
  <si>
    <t>3449518-8X820207260115</t>
  </si>
  <si>
    <t>3449518-9Z030207260179</t>
  </si>
  <si>
    <t>MY0547078-9Y510207260162</t>
  </si>
  <si>
    <t>M3448362-9Z220307260018</t>
  </si>
  <si>
    <t>MY0547078-9E380307260044</t>
  </si>
  <si>
    <t>3449523-9A840307260012</t>
  </si>
  <si>
    <t>3449523-9E380307260052</t>
  </si>
  <si>
    <t>MY0547078-9E380207260112</t>
  </si>
  <si>
    <t>MY0547078-9Y510207260152</t>
  </si>
  <si>
    <t>MY0547078-9E380207260114</t>
  </si>
  <si>
    <t>MY0547078-8X823006260001</t>
  </si>
  <si>
    <t>MY0547099-9E380107260012</t>
  </si>
  <si>
    <t>3449523-9Y982306260154</t>
  </si>
  <si>
    <t>3448356-9Y983006260032</t>
  </si>
  <si>
    <t>3448356-9Y983006260030</t>
  </si>
  <si>
    <t>MY0547078-9Y522606260010</t>
  </si>
  <si>
    <t>MY0547078-9Y523006260003</t>
  </si>
  <si>
    <t>3449518-9Y522506260082</t>
  </si>
  <si>
    <t>MY0547099-9Y522306260093</t>
  </si>
  <si>
    <t>MY0547099-9E382606260094</t>
  </si>
  <si>
    <t>3448362-9E382506260046</t>
  </si>
  <si>
    <t>MY0547099-9Y742906260119</t>
  </si>
  <si>
    <t>3449523-9Y512406260076</t>
  </si>
  <si>
    <t>MY0547099-9Y980107260038</t>
  </si>
  <si>
    <t>3449518-9A842406260055</t>
  </si>
  <si>
    <t>3448362-9E382506260035</t>
  </si>
  <si>
    <t>MY0547078-9Y982906260008</t>
  </si>
  <si>
    <t>MY0547078-9Z043006260060</t>
  </si>
  <si>
    <t>MY0547078-9Z043006260061</t>
  </si>
  <si>
    <t>MY0547078-9Z032506260131</t>
  </si>
  <si>
    <t>MY0547078-9Z232506260038</t>
  </si>
  <si>
    <t>MY0547078-9Y982306260013</t>
  </si>
  <si>
    <t>3449523-9Y522306260094</t>
  </si>
  <si>
    <t>3449523-9E382606260017</t>
  </si>
  <si>
    <t>3449523-9Y981906260050</t>
  </si>
  <si>
    <t>3448362-9E383006260005</t>
  </si>
  <si>
    <t>3448362-9Y522906260011</t>
  </si>
  <si>
    <t>3449523-9Y981806260007</t>
  </si>
  <si>
    <t>3449523-9Y981806260001</t>
  </si>
  <si>
    <t>MY0547078-9E382406260029</t>
  </si>
  <si>
    <t>3449518-9E382406260156</t>
  </si>
  <si>
    <t>3449523-8X822906260032</t>
  </si>
  <si>
    <t>3449523-8X822906260043</t>
  </si>
  <si>
    <t>MY0547099-9Y982606260038</t>
  </si>
  <si>
    <t>MY0547099-9E382306260120</t>
  </si>
  <si>
    <t>MY0547078-8X822906260041</t>
  </si>
  <si>
    <t>MY0547099-9E380607260048</t>
  </si>
  <si>
    <t>MY0547099-9A840407260116</t>
  </si>
  <si>
    <t>3449523-9E380407260050</t>
  </si>
  <si>
    <t>3448356-9Y520407260003</t>
  </si>
  <si>
    <t>MY0547099-9E380307260022</t>
  </si>
  <si>
    <t>MY0547078-9Y510307260155</t>
  </si>
  <si>
    <t>MY0547078-9Z230307260086</t>
  </si>
  <si>
    <t>MY0547099-9E380407260051</t>
  </si>
  <si>
    <t>MY0547099-9Y510407260157</t>
  </si>
  <si>
    <t>MY0547078-9Z040307260205</t>
  </si>
  <si>
    <t>MY0547099-9Y520407260162</t>
  </si>
  <si>
    <t>MY0547099-9E380407260132</t>
  </si>
  <si>
    <t>MY0547099-9E380407260138</t>
  </si>
  <si>
    <t>3449523-9Y980507260001</t>
  </si>
  <si>
    <t>3449518-9E380507260052</t>
  </si>
  <si>
    <t>MY0547099-9E380607260029</t>
  </si>
  <si>
    <t>MY0547078-9Z040307260081</t>
  </si>
  <si>
    <t>3449523-9Z030607260028</t>
  </si>
  <si>
    <t>MY0547099-9Y980607260014</t>
  </si>
  <si>
    <t>3449523-9Y980607260003</t>
  </si>
  <si>
    <t>MY0547078-9Y820307260065</t>
  </si>
  <si>
    <t>MY0547078-9Z040307260073</t>
  </si>
  <si>
    <t>3449523-9Y980507260025</t>
  </si>
  <si>
    <t>MY0547099-9Y740507260026</t>
  </si>
  <si>
    <t>MY0547099-9Y520507260017</t>
  </si>
  <si>
    <t>MY0547078-9E380407260014</t>
  </si>
  <si>
    <t>MY0547078-9Z030307260202</t>
  </si>
  <si>
    <t>3449523-9Y980507260009</t>
  </si>
  <si>
    <t>MY0547078-9Y520207260071</t>
  </si>
  <si>
    <t>MY0547078-9Y980307260216</t>
  </si>
  <si>
    <t>MY0547078-9Z030307260203</t>
  </si>
  <si>
    <t>MY0547078-9E380307260104</t>
  </si>
  <si>
    <t>MY0547078-8X820307260095</t>
  </si>
  <si>
    <t>MY0547099-9A840407260113</t>
  </si>
  <si>
    <t>3449523-9E380507260006</t>
  </si>
  <si>
    <t>MY0547099-9Y980507260030</t>
  </si>
  <si>
    <t>MY0547099-9Y980507260033</t>
  </si>
  <si>
    <t>MY0547078-9E380107260001</t>
  </si>
  <si>
    <t>3448362-9Y982506260036</t>
  </si>
  <si>
    <t>MY0547078-9E380107260034</t>
  </si>
  <si>
    <t>3449518-9Y742406260068</t>
  </si>
  <si>
    <t>3449518-9Y982506260137</t>
  </si>
  <si>
    <t>MY0547078-9Y520207260022</t>
  </si>
  <si>
    <t>MY0547078-9Y743006260105</t>
  </si>
  <si>
    <t>3449523-9E382906260088</t>
  </si>
  <si>
    <t>3449518-9Y512506260071</t>
  </si>
  <si>
    <t>3449518-9E382406260149</t>
  </si>
  <si>
    <t>3449518-9Y512506260065</t>
  </si>
  <si>
    <t>3449523-9Y522506260063</t>
  </si>
  <si>
    <t>3449523-9Y523006260034</t>
  </si>
  <si>
    <t>3449523-9Y512906260147</t>
  </si>
  <si>
    <t>3449523-9Y512906260134</t>
  </si>
  <si>
    <t>MY0547078-9E383006260103</t>
  </si>
  <si>
    <t>MY0547099-9Y510207260030</t>
  </si>
  <si>
    <t>MY0547078-9E380307260101</t>
  </si>
  <si>
    <t>3449518-9E380307260121</t>
  </si>
  <si>
    <t>3449518-9Y512506260053</t>
  </si>
  <si>
    <t>3449523-9E380607260218</t>
  </si>
  <si>
    <t>MY0547099-9Y740507260027</t>
  </si>
  <si>
    <t>3449518-8X820707260005</t>
  </si>
  <si>
    <t>3449518-9E380707260027</t>
  </si>
  <si>
    <t>3449518-8X820707260007</t>
  </si>
  <si>
    <t>3449523-9E380607260202</t>
  </si>
  <si>
    <t>3449518-8X820307260094</t>
  </si>
  <si>
    <t>3449518-8X820307260092</t>
  </si>
  <si>
    <t>3449518-8X820307260091</t>
  </si>
  <si>
    <t>MY0547099-9E380207260071</t>
  </si>
  <si>
    <t>3449518-9E383006260021</t>
  </si>
  <si>
    <t>3449523-9Y740207260008</t>
  </si>
  <si>
    <t>MY0547078-9Y510207260015</t>
  </si>
  <si>
    <t>MY0547078-9Y520307260002</t>
  </si>
  <si>
    <t>MY0547078-9Y520207260172</t>
  </si>
  <si>
    <t>3449518-9Y980107260016</t>
  </si>
  <si>
    <t>MY0547099-9Z040107260170</t>
  </si>
  <si>
    <t>3449523-9E380107260024</t>
  </si>
  <si>
    <t>MY0547099-9Y520307260001</t>
  </si>
  <si>
    <t>MY0547078-9E380107260088</t>
  </si>
  <si>
    <t>MY0547099-9Y980307260062</t>
  </si>
  <si>
    <t>MY0547078-9E380207260059</t>
  </si>
  <si>
    <t>3449518-9Z042406260078</t>
  </si>
  <si>
    <t>3449523-9E380307260055</t>
  </si>
  <si>
    <t>3449518-9Z042406260083</t>
  </si>
  <si>
    <t>MY0547078-9E380207260054</t>
  </si>
  <si>
    <t>MY0547099-9E380307260059</t>
  </si>
  <si>
    <t>MY0547078-9Z230207260164</t>
  </si>
  <si>
    <t>3449523-9Y810207260024</t>
  </si>
  <si>
    <t>MY0547078-9E380307260041</t>
  </si>
  <si>
    <t>MY0547078-9Y980207260139</t>
  </si>
  <si>
    <t>MY0547099-8X820307260017</t>
  </si>
  <si>
    <t>MY0547078-9Y980207260136</t>
  </si>
  <si>
    <t>MY0547099-8X820307260013</t>
  </si>
  <si>
    <t>3448362-9E380307260009</t>
  </si>
  <si>
    <t>3449518-8X820307260103</t>
  </si>
  <si>
    <t>MY0547099-9Y520307260002</t>
  </si>
  <si>
    <t>MY0547078-9Y982506260085</t>
  </si>
  <si>
    <t>3449523-8X820307260023</t>
  </si>
  <si>
    <t>MY0547078-9Z040307260069</t>
  </si>
  <si>
    <t>MY0547078-9E380107260087</t>
  </si>
  <si>
    <t>3449523-9E380107260106</t>
  </si>
  <si>
    <t>MY0547078-9Z040307260071</t>
  </si>
  <si>
    <t>3449518-9E383006260016</t>
  </si>
  <si>
    <t>3449518-9Z042406260081</t>
  </si>
  <si>
    <t>3449518-9Y740307260069</t>
  </si>
  <si>
    <t>MY0547099-9E380207260067</t>
  </si>
  <si>
    <t>MY0547099-9E380107260026</t>
  </si>
  <si>
    <t>MY0547099-9Y980307260066</t>
  </si>
  <si>
    <t>MY0547099-9Y740107260082</t>
  </si>
  <si>
    <t>3449518-9E383006260025</t>
  </si>
  <si>
    <t>3449518-9E383006260020</t>
  </si>
  <si>
    <t>3449518-9E383006260023</t>
  </si>
  <si>
    <t>M3449518-9Z220207260202</t>
  </si>
  <si>
    <t>MY0547099-9E380307260008</t>
  </si>
  <si>
    <t>MY0547099-8X8203072600</t>
  </si>
  <si>
    <t>3449523-9Y523006260037</t>
  </si>
  <si>
    <t>MY0547078-9E380207260001</t>
  </si>
  <si>
    <t>MY0547078-9Z030307260185</t>
  </si>
  <si>
    <t>3449523-9Y742506260130</t>
  </si>
  <si>
    <t>MY0547078-9Z040307260072</t>
  </si>
  <si>
    <t>MY0547078-9Y980307260187</t>
  </si>
  <si>
    <t>MY0547078-9E380307260099</t>
  </si>
  <si>
    <t>MY0547099-9Z223006260018</t>
  </si>
  <si>
    <t>MY0547078-9Z230207260142</t>
  </si>
  <si>
    <t>3449518ß9Z980707260123</t>
  </si>
  <si>
    <t>MZ0547078ß9E380707260136</t>
  </si>
  <si>
    <t>MZ0547099ß9Z520807260026</t>
  </si>
  <si>
    <t>MY0547099-9Y510707260045</t>
  </si>
  <si>
    <t>M3448356-9Z230707260052</t>
  </si>
  <si>
    <t>MY0547078-9A840807260007</t>
  </si>
  <si>
    <t>MY0547099-9Y980707260021</t>
  </si>
  <si>
    <t>MY0547078-9Z040707260093</t>
  </si>
  <si>
    <t>3449523-9Y740707260054</t>
  </si>
  <si>
    <t>MY0547099-8X820707260023</t>
  </si>
  <si>
    <t>MY0547099-9Y980707260020</t>
  </si>
  <si>
    <t>3449523-9E380607260190</t>
  </si>
  <si>
    <t>3449518-9E380707260089</t>
  </si>
  <si>
    <t>3449518-9Z040707260149</t>
  </si>
  <si>
    <t>3449518-9E380707260069</t>
  </si>
  <si>
    <t>3449523-9y52</t>
  </si>
  <si>
    <t>MY0547078-9E380307260123</t>
  </si>
  <si>
    <t>MY0547099-9Z230607260007</t>
  </si>
  <si>
    <t>MY0547078-9Y510307260149</t>
  </si>
  <si>
    <t>MY0547078-9Z040307260208</t>
  </si>
  <si>
    <t>MY0547099-9Z030607260008</t>
  </si>
  <si>
    <t>3449523-9Y980107260062</t>
  </si>
  <si>
    <t>3449523-9Y980107260056</t>
  </si>
  <si>
    <t>MY0547078-9Z040507260007#</t>
  </si>
  <si>
    <t>MY0547099-9Y740207260026</t>
  </si>
  <si>
    <t>MY0547099-9Y510307260029</t>
  </si>
  <si>
    <t>M3449523-9Z220107260131</t>
  </si>
  <si>
    <t>3449518-9Y980107260010</t>
  </si>
  <si>
    <t>MY0547099-9Y520407260030</t>
  </si>
  <si>
    <t>3449518-9Z043006260092</t>
  </si>
  <si>
    <t>MY0547099-9E380207260055</t>
  </si>
  <si>
    <t>3449518-9Y742906260018</t>
  </si>
  <si>
    <t>MY0547099-9Y510207260032</t>
  </si>
  <si>
    <t>MY0547099-9E380407260059</t>
  </si>
  <si>
    <t>3449523-9E382606260050</t>
  </si>
  <si>
    <t>MY0547078-9E380207260110</t>
  </si>
  <si>
    <t>MY0547078-9E380207260052</t>
  </si>
  <si>
    <t>MY0547078-9Y980107260061</t>
  </si>
  <si>
    <t>3449518-9Y510207260032</t>
  </si>
  <si>
    <t>3448356-9Y513006260047</t>
  </si>
  <si>
    <t>3449518-9E383006260048</t>
  </si>
  <si>
    <t>MY0547099-9Y510507260008</t>
  </si>
  <si>
    <t>MY0547078-9Y520207260070</t>
  </si>
  <si>
    <t>3449523-9E380107260102</t>
  </si>
  <si>
    <t>MY0547099-9Y510207260073</t>
  </si>
  <si>
    <t>MY0547099-9Y980307260038</t>
  </si>
  <si>
    <t>MY0547099-9Z040407260091</t>
  </si>
  <si>
    <t>3449523-9Y512906260161</t>
  </si>
  <si>
    <t>3449523-9Y980807260071</t>
  </si>
  <si>
    <t>MY0547099-9A840807260079</t>
  </si>
  <si>
    <t>3449523-9Z030807260166</t>
  </si>
  <si>
    <t>3449523-8X820907260002</t>
  </si>
  <si>
    <t>MY0547099-9Z030807260165</t>
  </si>
  <si>
    <t>MY0547078-8X820707260090</t>
  </si>
  <si>
    <t>3449523-8X820907260023</t>
  </si>
  <si>
    <t>MY0547099-9Y510807260124</t>
  </si>
  <si>
    <t>MY0547078-9Y520807260068</t>
  </si>
  <si>
    <t>3448356-9Y520707260022</t>
  </si>
  <si>
    <t>MY0547078-9E380807260036</t>
  </si>
  <si>
    <t>3448356-9Y510707260007</t>
  </si>
  <si>
    <t>MY0547078-9Y740907260018</t>
  </si>
  <si>
    <t>MY0547078-9E380807260079</t>
  </si>
  <si>
    <t>3449523-9Y520807260207</t>
  </si>
  <si>
    <t>M3449523-9Z220807260191</t>
  </si>
  <si>
    <t>3449518-9Y740907260020</t>
  </si>
  <si>
    <t>3449518-9Y510907260032</t>
  </si>
  <si>
    <t>MY0547099-9Y510807260181</t>
  </si>
  <si>
    <t>3449518-9Y513006260069</t>
  </si>
  <si>
    <t>3449518-9E383006260050</t>
  </si>
  <si>
    <t>MY0547078-9Z040307260206</t>
  </si>
  <si>
    <t>3449518-9E383006260052</t>
  </si>
  <si>
    <t>M3449518-9Z220107260001</t>
  </si>
  <si>
    <t>3449518-9E383006260047</t>
  </si>
  <si>
    <t>MY0547078-9Y980607260068</t>
  </si>
  <si>
    <t>3449518-9Y520207260045</t>
  </si>
  <si>
    <t>MY0547099-9Y520607260071</t>
  </si>
  <si>
    <t>MY0547099-9Y520607260079</t>
  </si>
  <si>
    <t>3449523-9Y520107260052</t>
  </si>
  <si>
    <t>MY0547099-9Y520607260069</t>
  </si>
  <si>
    <t>MY0547099-9Y520607260077</t>
  </si>
  <si>
    <t>MY0547078-9E380307260119</t>
  </si>
  <si>
    <t>3449518-9Y742906260022</t>
  </si>
  <si>
    <t>MY0547078-9E380407260003</t>
  </si>
  <si>
    <t>MY0547099-9Y510607260067</t>
  </si>
  <si>
    <t>MY0547078-9Z220507260043</t>
  </si>
  <si>
    <t>3449518-9E380207260149</t>
  </si>
  <si>
    <t>3449518-9E380207260161</t>
  </si>
  <si>
    <t>3449518-9A840107260067</t>
  </si>
  <si>
    <t>3449518-9Y743006260072</t>
  </si>
  <si>
    <t>MY0547078-9Y520607260035</t>
  </si>
  <si>
    <t>MY0547099-8X820407260105</t>
  </si>
  <si>
    <t>3449518-9Y520207260055</t>
  </si>
  <si>
    <t>MY0547099-9Z040407260090</t>
  </si>
  <si>
    <t>3448362-9Y980307260013</t>
  </si>
  <si>
    <t>MY0547078-9Y510607260030</t>
  </si>
  <si>
    <t>3449518-9Y522506260092</t>
  </si>
  <si>
    <t>MY0547099-9E380407260074</t>
  </si>
  <si>
    <t>3449523-9Y510607260089</t>
  </si>
  <si>
    <t>MY0547078-9Y510307260161</t>
  </si>
  <si>
    <t>MY0547078-9Z040607260063</t>
  </si>
  <si>
    <t>3448356-9Y510707260053</t>
  </si>
  <si>
    <t>3448356-9Y980207260026</t>
  </si>
  <si>
    <t>MY0547078-9Y980307260188</t>
  </si>
  <si>
    <t>MY0547099-9Y520307260003</t>
  </si>
  <si>
    <t>MY0547099-9Y510507260010</t>
  </si>
  <si>
    <t>MY0547078-9Y980507260008</t>
  </si>
  <si>
    <t>3449518-9Y522506260096</t>
  </si>
  <si>
    <t>MY0547099-9Z040107260176</t>
  </si>
  <si>
    <t>MY0547099-9Y520807260032</t>
  </si>
  <si>
    <t>MY0547099-9Z040307260043</t>
  </si>
  <si>
    <t>MY0547078-9Z042506260057</t>
  </si>
  <si>
    <t>MY0547099-9Y980907260065</t>
  </si>
  <si>
    <t>3449523-9Y510907260052</t>
  </si>
  <si>
    <t>MY0547099-9Y980907260060</t>
  </si>
  <si>
    <t>3449518-9E380907260231</t>
  </si>
  <si>
    <t>MY0547078-9Z031007260022</t>
  </si>
  <si>
    <t>3449518-9E380907260127</t>
  </si>
  <si>
    <t>MY0547078-9Y520907260170</t>
  </si>
  <si>
    <t>3449523-9Y521007260041</t>
  </si>
  <si>
    <t>3449518-9E381007260019</t>
  </si>
  <si>
    <t>MY0547078-9Y740907260082</t>
  </si>
  <si>
    <t>MY0547078-9Y520907260081</t>
  </si>
  <si>
    <t>MY0547078-9Z040707260120</t>
  </si>
  <si>
    <t>MY0547078-9Z040907260071</t>
  </si>
  <si>
    <t>MY0547078-9Z230907260173</t>
  </si>
  <si>
    <t>MY0547078-9Y980907260183</t>
  </si>
  <si>
    <t>3448356-9Y980907260002</t>
  </si>
  <si>
    <t>MY0547078-9Y520907260168</t>
  </si>
  <si>
    <t>3448356-9Y980907260007</t>
  </si>
  <si>
    <t>3449523-9E380607260122</t>
  </si>
  <si>
    <t>MY0547078-9Z220907260151</t>
  </si>
  <si>
    <t>MY0547078-9Y740207260031</t>
  </si>
  <si>
    <t>M3449523-9Z220407260004</t>
  </si>
  <si>
    <t>MY0547099-9E380407260071</t>
  </si>
  <si>
    <t>3449523-9E380707260013</t>
  </si>
  <si>
    <t>3449523-9Y980507260011</t>
  </si>
  <si>
    <t>MY0547078-9Y980607260075</t>
  </si>
  <si>
    <t>MY0547099-9Y980807260057</t>
  </si>
  <si>
    <t>MY0547099-9Y520807260081</t>
  </si>
  <si>
    <t>MY0547078-9Z220507260048</t>
  </si>
  <si>
    <t>MY0547099-9Y510407260002</t>
  </si>
  <si>
    <t>MY0547078-9Z040707260094</t>
  </si>
  <si>
    <t>MY0547099-9Y510607260066</t>
  </si>
  <si>
    <t>MY0547099-9Y520607260084</t>
  </si>
  <si>
    <t>MY0547099-9Z040607260090</t>
  </si>
  <si>
    <t>MY0547099-9E380107260159</t>
  </si>
  <si>
    <t>MY0547099-9Y520407260037</t>
  </si>
  <si>
    <t>3449523-8X820607260058</t>
  </si>
  <si>
    <t>MY0547078-9E380607260018</t>
  </si>
  <si>
    <t>MY0547078-9Z040707260099</t>
  </si>
  <si>
    <t>MY0547099-9E380607260125</t>
  </si>
  <si>
    <t>MY0547078-9Z040707260100</t>
  </si>
  <si>
    <t>MY0547099-9Y980607260107</t>
  </si>
  <si>
    <t>3448362-9Y980107260007</t>
  </si>
  <si>
    <t>MY0547078-9E381207260029</t>
  </si>
  <si>
    <t>3449518-8X821207260013</t>
  </si>
  <si>
    <t>MY0547099-9E381007260205</t>
  </si>
  <si>
    <t>MY0547078-9E381207260019</t>
  </si>
  <si>
    <t>MY0547078-9E381207260022</t>
  </si>
  <si>
    <t>MY0547078-9Y511307260010</t>
  </si>
  <si>
    <t>MY0547099-9Z031007260198</t>
  </si>
  <si>
    <t>3449523-9Y511207260023</t>
  </si>
  <si>
    <t>M3449523-9Z221207260044</t>
  </si>
  <si>
    <t>MY0547078-9Z031307260003</t>
  </si>
  <si>
    <t>3449523-9Z031207260052</t>
  </si>
  <si>
    <t>MY0547078-9Y511307260019</t>
  </si>
  <si>
    <t>MY0547078-9Y511207260018</t>
  </si>
  <si>
    <t>3449523-9E381007260120</t>
  </si>
  <si>
    <t>3448362-9Y741207260041</t>
  </si>
  <si>
    <t>3449518-9Y741207260024</t>
  </si>
  <si>
    <t>MY0547078-9E381207260024</t>
  </si>
  <si>
    <t>3449523-8x821007260167</t>
  </si>
  <si>
    <t>3449523-9e381007260135</t>
  </si>
  <si>
    <t>3449523-9y511007260172</t>
  </si>
  <si>
    <t>my0547099-9e381007260081</t>
  </si>
  <si>
    <t>MY0547078-9E381307260007</t>
  </si>
  <si>
    <t>3449523-9Y981007260077</t>
  </si>
  <si>
    <t>3448356-9Y980907260004</t>
  </si>
  <si>
    <t>MY0547099-9E381007260086</t>
  </si>
  <si>
    <t>MY0547078-9Y511007260066</t>
  </si>
  <si>
    <t>3449523-9Y511007260098</t>
  </si>
  <si>
    <t>MY0547099-9Y981007260057</t>
  </si>
  <si>
    <t>MY0547099-8X821007260073</t>
  </si>
  <si>
    <t>MY0547099-8X821007260069</t>
  </si>
  <si>
    <t>MY0547078-9Z031107260050</t>
  </si>
  <si>
    <t>MY0547078-9Y980707260072</t>
  </si>
  <si>
    <t>3449518-9A840707260090</t>
  </si>
  <si>
    <t>MY0547078-9Y740607260108</t>
  </si>
  <si>
    <t>3449518-9Z043006260102</t>
  </si>
  <si>
    <t>MY0547078-9Y980707260074</t>
  </si>
  <si>
    <t>3449518-9E380707260066</t>
  </si>
  <si>
    <t>MY0547099-9Y520807260169</t>
  </si>
  <si>
    <t>M3448362-9Z220807260031</t>
  </si>
  <si>
    <t>MY0547078-9Y980707260080</t>
  </si>
  <si>
    <t>MY0547099-9Y520907260044</t>
  </si>
  <si>
    <t>MY0547099-9E380707260010</t>
  </si>
  <si>
    <t>3449523-9Y510607260109</t>
  </si>
  <si>
    <t>MY0547099-9E380707260007</t>
  </si>
  <si>
    <t>MY0547078-9Y520807260063</t>
  </si>
  <si>
    <t>3449523-9E380607260111</t>
  </si>
  <si>
    <t>3449523-9Y980507260023</t>
  </si>
  <si>
    <t>MY0547099-9Y740807260029</t>
  </si>
  <si>
    <t>MY0547078-9E380707260052</t>
  </si>
  <si>
    <t>MY0547078-9Y980707260018</t>
  </si>
  <si>
    <t>3449518-9Y740707260086</t>
  </si>
  <si>
    <t>MY0547099-9E380607260123</t>
  </si>
  <si>
    <t>3449518-9Y980607260048</t>
  </si>
  <si>
    <t>M3448362-9Z220807260026</t>
  </si>
  <si>
    <t>MY0547099-9Y740707260048</t>
  </si>
  <si>
    <t>MY0547099-9Y740807260031</t>
  </si>
  <si>
    <t>MY0547099-9Y980607260101</t>
  </si>
  <si>
    <t>MY0547099-9Y510407260001</t>
  </si>
  <si>
    <t>MY0547099-9Y510407260008</t>
  </si>
  <si>
    <t>MY0547099-9Y980607260106</t>
  </si>
  <si>
    <t>MY0547099-9Y520607260078</t>
  </si>
  <si>
    <t>MY0547099-9Y980307260037</t>
  </si>
  <si>
    <t>MY0547099-9Y510407260007</t>
  </si>
  <si>
    <t>MY0547099-9Y520607260083</t>
  </si>
  <si>
    <t>MY0547099-9Y520607260068</t>
  </si>
  <si>
    <t>MY0547099-9Z040607260089</t>
  </si>
  <si>
    <t>MY0547099-9Y510607260150</t>
  </si>
  <si>
    <t>MY0547099-9Z040107260167</t>
  </si>
  <si>
    <t>3449523-9Y980207260043</t>
  </si>
  <si>
    <t>MY0547078-9E380107260033</t>
  </si>
  <si>
    <t>3449523-8X820107260006</t>
  </si>
  <si>
    <t>MY0547099-9E380407260055</t>
  </si>
  <si>
    <t>3449518-8X822906260024</t>
  </si>
  <si>
    <t>3449518-9Y980707260128</t>
  </si>
  <si>
    <t>3449518-9E380707260077</t>
  </si>
  <si>
    <t>MY0547078-9E380707260056</t>
  </si>
  <si>
    <t>3449523-9E380707260006</t>
  </si>
  <si>
    <t>MY0547099-9Y520407260019</t>
  </si>
  <si>
    <t>MY0547099-9E380607260061</t>
  </si>
  <si>
    <t>3449523-9E380607260201</t>
  </si>
  <si>
    <t>MY0547078-9E381407260035</t>
  </si>
  <si>
    <t>MY0547078-9Y981407260018</t>
  </si>
  <si>
    <t>3448356-9Y521307260009</t>
  </si>
  <si>
    <t>MY0547078-9E381407260028</t>
  </si>
  <si>
    <t>3449518-9Y741307260055</t>
  </si>
  <si>
    <t>MY0547099-9Z221307260058</t>
  </si>
  <si>
    <t>3449523-8X821307260103</t>
  </si>
  <si>
    <t>3449523-9Y521307260078</t>
  </si>
  <si>
    <t>MY0547099-9E381307260079</t>
  </si>
  <si>
    <t>MY0547099-8X821307260090</t>
  </si>
  <si>
    <t>3449523-9Z031307260126</t>
  </si>
  <si>
    <t>MY0547099-9Y511307260130</t>
  </si>
  <si>
    <t>3449518-9Y511307260090</t>
  </si>
  <si>
    <t>MY0547099-9Z031307260182</t>
  </si>
  <si>
    <t>MY0547099-9Z031407260014</t>
  </si>
  <si>
    <t>MY0547078-9Y510807260055</t>
  </si>
  <si>
    <t>MY0547078-9Z040707260020</t>
  </si>
  <si>
    <t>3449523-9Z030807260157</t>
  </si>
  <si>
    <t>MY0547078-9Y510807260049</t>
  </si>
  <si>
    <t>MY0547078-9Z040907260074</t>
  </si>
  <si>
    <t>MY0547078-9Y510807260052</t>
  </si>
  <si>
    <t>M3448356-9Z230707260047</t>
  </si>
  <si>
    <t>MY0547078-9Y740807260003</t>
  </si>
  <si>
    <t>MY0547078-9E380707260046</t>
  </si>
  <si>
    <t>MY0547099-9E380807260143</t>
  </si>
  <si>
    <t>3449523-9Y510807260110</t>
  </si>
  <si>
    <t>MY0547078-9Z040307260200</t>
  </si>
  <si>
    <t>3449523-9Z030807260112</t>
  </si>
  <si>
    <t>MY0547078-9E380807260027</t>
  </si>
  <si>
    <t>MY0547099-9E380807260145</t>
  </si>
  <si>
    <t>3449523-9Y740807260148</t>
  </si>
  <si>
    <t>3449518-9E380907260130</t>
  </si>
  <si>
    <t>3449518-9Y520307260170</t>
  </si>
  <si>
    <t>3449518-9Z040707260147</t>
  </si>
  <si>
    <t>3449523-9E380807260054</t>
  </si>
  <si>
    <t>3449518-9E380907260134</t>
  </si>
  <si>
    <t>MY0547099-9E380807260050</t>
  </si>
  <si>
    <t>MY0547078-9E380307260106</t>
  </si>
  <si>
    <t>MY0547099-9E380807260016</t>
  </si>
  <si>
    <t>3449518-9Y740707260079</t>
  </si>
  <si>
    <t>MY0547078-9E380807260028</t>
  </si>
  <si>
    <t>MY0547099-9Y520807260080</t>
  </si>
  <si>
    <t>MY0547099-9A840807260074</t>
  </si>
  <si>
    <t>3449518-9Y520307260177</t>
  </si>
  <si>
    <t>MY0547099-9Y510407260039</t>
  </si>
  <si>
    <t>MY0547099-8X821507260035</t>
  </si>
  <si>
    <t>3449523-9E381407260065</t>
  </si>
  <si>
    <t>3449523-9E381407260069</t>
  </si>
  <si>
    <t>3449523-9E381407260066</t>
  </si>
  <si>
    <t>3449518-9Z031507260035</t>
  </si>
  <si>
    <t>MY0547078-9A841507260024</t>
  </si>
  <si>
    <t>MY0547078-9E381407260189</t>
  </si>
  <si>
    <t>MY0547099-9Y511407260070</t>
  </si>
  <si>
    <t>3449518-9E381407260101</t>
  </si>
  <si>
    <t>3449518-9Y981407260085</t>
  </si>
  <si>
    <t>MY0547078-9Y511407260156</t>
  </si>
  <si>
    <t>MY0547078-9Y981407260141</t>
  </si>
  <si>
    <t>MY0547078-9Z221407260069</t>
  </si>
  <si>
    <t>3448356-9Y511307260024</t>
  </si>
  <si>
    <t>3449518-9Y811407260062</t>
  </si>
  <si>
    <t>3449518-9Y511307260098</t>
  </si>
  <si>
    <t>MY0547099-9Y981507260014</t>
  </si>
  <si>
    <t>MY0547099-9E381407260075</t>
  </si>
  <si>
    <t>MY0547078-9Z031507260018</t>
  </si>
  <si>
    <t>MY0547078-9Z031507260017</t>
  </si>
  <si>
    <t>3449518-9Z031507260022</t>
  </si>
  <si>
    <t>3449518-9E380707260056</t>
  </si>
  <si>
    <t>3449523-9Y521007260038</t>
  </si>
  <si>
    <t>MY0547078-9Z040907260196</t>
  </si>
  <si>
    <t>MY0547099-9E380907260054</t>
  </si>
  <si>
    <t>MY0547078-9Y521007260011</t>
  </si>
  <si>
    <t>3449523-9Y510907260054</t>
  </si>
  <si>
    <t>3449523-8X820907260017</t>
  </si>
  <si>
    <t>MY0547078-9E380907260084</t>
  </si>
  <si>
    <t>MY0547078-9Y520907260129</t>
  </si>
  <si>
    <t>MY0547099-9E381007260087</t>
  </si>
  <si>
    <t>MY0547078-9E380807260016</t>
  </si>
  <si>
    <t>3449518-9E380907260125</t>
  </si>
  <si>
    <t>MY0547099-9Y740907260072</t>
  </si>
  <si>
    <t>3449523-9Y520907260002</t>
  </si>
  <si>
    <t>MY0547099-9Y981007260130</t>
  </si>
  <si>
    <t>MY0547078-9E380907260103</t>
  </si>
  <si>
    <t>MY0547099-9Y981007260049</t>
  </si>
  <si>
    <t>MY0547078-9Y520907260163</t>
  </si>
  <si>
    <t>MY0547078-9E380907260043</t>
  </si>
  <si>
    <t>MY0547078-9Y520907260167</t>
  </si>
  <si>
    <t>MY0547078-9E380907260104</t>
  </si>
  <si>
    <t>MY0547078-9Z230907260181</t>
  </si>
  <si>
    <t>MY0547078-8X820907260144</t>
  </si>
  <si>
    <t>MY0547078-9Z230907260172</t>
  </si>
  <si>
    <t>MY0547078-9Y740907260063</t>
  </si>
  <si>
    <t>MY0547099-9Y521007260119</t>
  </si>
  <si>
    <t>3449518-9E380907260133</t>
  </si>
  <si>
    <t>3449518-9E380907260121</t>
  </si>
  <si>
    <t>3449518-9Z031607260036</t>
  </si>
  <si>
    <t>3449523-9Z031607260034</t>
  </si>
  <si>
    <t>3449518-9E381607260024</t>
  </si>
  <si>
    <t>MY0547078-9E381507260053</t>
  </si>
  <si>
    <t>MY0547078-9Z041607260037</t>
  </si>
  <si>
    <t>3449518-9Y741507260073</t>
  </si>
  <si>
    <t>MY0547078-9Z031607260008</t>
  </si>
  <si>
    <t>3449523-8X821507260075</t>
  </si>
  <si>
    <t>MY0547099-9E381507260052</t>
  </si>
  <si>
    <t>M3449523-9Z231507260138</t>
  </si>
  <si>
    <t>M3449523-9Z231507260142</t>
  </si>
  <si>
    <t>MY0547099-9Y521507260089</t>
  </si>
  <si>
    <t>MY0547078-9Z221407260201</t>
  </si>
  <si>
    <t>MY0547099-9Y511007260158</t>
  </si>
  <si>
    <t>M3449518-9Z220907260050</t>
  </si>
  <si>
    <t>MY0547078-9Y510907260108</t>
  </si>
  <si>
    <t>MY0547078-9Y521107260020</t>
  </si>
  <si>
    <t>M3449518-9Z230907260088</t>
  </si>
  <si>
    <t>MY0547078-9E381007260075</t>
  </si>
  <si>
    <t>3448362-9Y511207260017</t>
  </si>
  <si>
    <t>MY0547099-9Z231207260007</t>
  </si>
  <si>
    <t>MY0547078-9Y511107260032</t>
  </si>
  <si>
    <t>3448362-9E381207260010</t>
  </si>
  <si>
    <t>3448362-9Y511207260018</t>
  </si>
  <si>
    <t>3449523-9E381207260003</t>
  </si>
  <si>
    <t>3448362-9Z031307260003</t>
  </si>
  <si>
    <t>3449518-9Y521407260146</t>
  </si>
  <si>
    <t>3449523-8X821307260172</t>
  </si>
  <si>
    <t>3449518-9Z031307260013</t>
  </si>
  <si>
    <t>MY0547078-9Z031007260021</t>
  </si>
  <si>
    <t>M3449518-9Z230907260090</t>
  </si>
  <si>
    <t>3449523-8X821307260154</t>
  </si>
  <si>
    <t>MY0547078-9Y510907260113</t>
  </si>
  <si>
    <t>M3449518-9Z220907260052</t>
  </si>
  <si>
    <t>MY0547078-9Y510907260110</t>
  </si>
  <si>
    <t>3449523-9Y511207260013</t>
  </si>
  <si>
    <t>3449518-9Y511007260038</t>
  </si>
  <si>
    <t>3448356-9Y980907260008</t>
  </si>
  <si>
    <t>3448356-9Y981107260002</t>
  </si>
  <si>
    <t>3449518-8X821607260221</t>
  </si>
  <si>
    <t>3449518-9Y511607260115</t>
  </si>
  <si>
    <t>MY0547078-9Y521607260172</t>
  </si>
  <si>
    <t>MY0547078-9E381607260184</t>
  </si>
  <si>
    <t>MY0547078-9Y521607260185</t>
  </si>
  <si>
    <t>MY0547099-9Y741607260091</t>
  </si>
  <si>
    <t>M3449518-9Z231607260166</t>
  </si>
  <si>
    <t>MY0547078-9Z031707260013</t>
  </si>
  <si>
    <t>3449518-9E381607260194</t>
  </si>
  <si>
    <t>MY0547078-9Z031707260028</t>
  </si>
  <si>
    <t>3449523-8X821707260048</t>
  </si>
  <si>
    <t>3449518-9Y521607260204</t>
  </si>
  <si>
    <t>3449518-9Y521607260092</t>
  </si>
  <si>
    <t>3449518-9Y511607260073</t>
  </si>
  <si>
    <t>MY0547078-9Y511307260047</t>
  </si>
  <si>
    <t>MY0547099-9Z221307260059</t>
  </si>
  <si>
    <t>MY0547099-8X821507260032</t>
  </si>
  <si>
    <t>MY0547078-9E381207260015</t>
  </si>
  <si>
    <t>MY0547099-9E381307260149</t>
  </si>
  <si>
    <t>MY0547099-9E381307260044</t>
  </si>
  <si>
    <t>MY0547078-9Y511307260017</t>
  </si>
  <si>
    <t>3449523-9Z031307260013</t>
  </si>
  <si>
    <t>3448356-9Y511407260003</t>
  </si>
  <si>
    <t>3449523-9Y982906260016</t>
  </si>
  <si>
    <t>MY0547099-9E381307260062</t>
  </si>
  <si>
    <t>MY0547078-9Y511307260023</t>
  </si>
  <si>
    <t>MY0547099-8X821507260037</t>
  </si>
  <si>
    <t>MY0547078-9Y741307260041</t>
  </si>
  <si>
    <t>MY0547099-9Y521407260044</t>
  </si>
  <si>
    <t>MY0547078-9Y741307260039</t>
  </si>
  <si>
    <t>MY0547078-9Y741307260036</t>
  </si>
  <si>
    <t>MY0547078-9E381307260026</t>
  </si>
  <si>
    <t>MY0547099-9E381307260164</t>
  </si>
  <si>
    <t>MY0547099-9E381307260172</t>
  </si>
  <si>
    <t>3449523-9Y741307260137</t>
  </si>
  <si>
    <t>MY0547099-9A841307260140</t>
  </si>
  <si>
    <t>MY0547099-9E381707260130</t>
  </si>
  <si>
    <t>M3449523-9Z221707260130</t>
  </si>
  <si>
    <t>MY0547099-9E381707260127</t>
  </si>
  <si>
    <t>MY0547078-9Y521907260010</t>
  </si>
  <si>
    <t>MY0547078-9Z031907260004</t>
  </si>
  <si>
    <t>3449523-9Y981707260134</t>
  </si>
  <si>
    <t>MY0547099-9Z031707260118</t>
  </si>
  <si>
    <t>MY0547078-9Y982007260019</t>
  </si>
  <si>
    <t>MY0547078-9Y741907260008</t>
  </si>
  <si>
    <t>MY0547099-9Y521707260100</t>
  </si>
  <si>
    <t>3449523-8X822007260031</t>
  </si>
  <si>
    <t>MY0547078-9E381607260158</t>
  </si>
  <si>
    <t>MY0547099-9E381507260002</t>
  </si>
  <si>
    <t>MY0547099-9E381307260168</t>
  </si>
  <si>
    <t>3449518-9Z031407260041</t>
  </si>
  <si>
    <t>MY0547099-9Y511407260040</t>
  </si>
  <si>
    <t>MY0547099-9Z231507260026</t>
  </si>
  <si>
    <t>MY0547078-9Y981407260124</t>
  </si>
  <si>
    <t>MY0547078-9E381307260054</t>
  </si>
  <si>
    <t>3449523-8X821707260042</t>
  </si>
  <si>
    <t>3449518-9Y531407260026</t>
  </si>
  <si>
    <t>MY0547078-9Y511407260048</t>
  </si>
  <si>
    <t>MY0547099-9Y521507260087</t>
  </si>
  <si>
    <t>3449523-9Z031407260083</t>
  </si>
  <si>
    <t>MY0547099-9Y511007260028</t>
  </si>
  <si>
    <t>3449518-9Y511407260188</t>
  </si>
  <si>
    <t>MY0547078-9Y511407260158</t>
  </si>
  <si>
    <t>3449523-9Y981407260052</t>
  </si>
  <si>
    <t>MY0547078-9A841407260149</t>
  </si>
  <si>
    <t>MY0547078-9Y511407260163</t>
  </si>
  <si>
    <t>3449523-9E381407260087</t>
  </si>
  <si>
    <t>3449523-9E381407260084</t>
  </si>
  <si>
    <t>MY0547078-9Y981407260137</t>
  </si>
  <si>
    <t>MY0547078-9Y521407260093</t>
  </si>
  <si>
    <t>3449523-9E381407260088</t>
  </si>
  <si>
    <t>MY0547078-9E381407260003</t>
  </si>
  <si>
    <t>3448356-9Y512007260019</t>
  </si>
  <si>
    <t>3449518-9E382107260018</t>
  </si>
  <si>
    <t>MY0547078-9Y742007260177</t>
  </si>
  <si>
    <t>MY0547099-9Y982107260048</t>
  </si>
  <si>
    <t>3449518-9Y512007260127</t>
  </si>
  <si>
    <t>3449523-9Y822007260050</t>
  </si>
  <si>
    <t>MY0547099-9Z042007260052</t>
  </si>
  <si>
    <t>3449523-9Y982007260103</t>
  </si>
  <si>
    <t>3449523-9Y982007260074</t>
  </si>
  <si>
    <t>MY0547078-9Y521907260011</t>
  </si>
  <si>
    <t>3449518-9Y512007260168</t>
  </si>
  <si>
    <t>3449518-9Z032007260156</t>
  </si>
  <si>
    <t>3449518-9Z032007260061</t>
  </si>
  <si>
    <t>MY0547078-9Z222007260162</t>
  </si>
  <si>
    <t>MY0547078-9Y512007260072</t>
  </si>
  <si>
    <t>MY0547078-9Y512007260069</t>
  </si>
  <si>
    <t>3448356-9Y512007260007</t>
  </si>
  <si>
    <t>3449523-9Y982007260060</t>
  </si>
  <si>
    <t>MY0547099-9Z041707260094</t>
  </si>
  <si>
    <t>3449518-9Y512007260120</t>
  </si>
  <si>
    <t>3449518-9Y512007260136</t>
  </si>
  <si>
    <t>3449523-9Z041707260034</t>
  </si>
  <si>
    <t>MY0547099-9Z031407260015</t>
  </si>
  <si>
    <t>MY0547099-9Y511707260062</t>
  </si>
  <si>
    <t>MY0547099-9Z031407260008</t>
  </si>
  <si>
    <t>MY0547099-9Y511707260058</t>
  </si>
  <si>
    <t>MY0547099-9Z031407260021</t>
  </si>
  <si>
    <t>MY0547078-9E381407260037</t>
  </si>
  <si>
    <t>MY0547099-9Z031507260084</t>
  </si>
  <si>
    <t>3449523-9Y531507260125</t>
  </si>
  <si>
    <t>MY0547099-9Z031507260152</t>
  </si>
  <si>
    <t>MY0547099-9Z031507260154</t>
  </si>
  <si>
    <t>MY0547099-9E381507260094</t>
  </si>
  <si>
    <t>3449523-9Y531507260127</t>
  </si>
  <si>
    <t>3449523-9Y511607260006</t>
  </si>
  <si>
    <t>3449523-9Y511607260007</t>
  </si>
  <si>
    <t>3449523-9Y521507260088</t>
  </si>
  <si>
    <t>MY0547099-8X821707260050</t>
  </si>
  <si>
    <t>MY0547099-9Y981607260083</t>
  </si>
  <si>
    <t>MY0547099-9Z031607260011</t>
  </si>
  <si>
    <t>M3449518-9Z231607260011</t>
  </si>
  <si>
    <t>MY0547099-9Y521707260097</t>
  </si>
  <si>
    <t>M3449523-9Z231507260095</t>
  </si>
  <si>
    <t>3449523-9Y521707260076</t>
  </si>
  <si>
    <t>3449518-9Y511607260087</t>
  </si>
  <si>
    <t>MY0547078-9Y741607260062</t>
  </si>
  <si>
    <t>MY0547078-9Z031607260044</t>
  </si>
  <si>
    <t>MY0547078-9Y741607260064</t>
  </si>
  <si>
    <t>3449518-9Y521607260094</t>
  </si>
  <si>
    <t>MY0547078-9Y981607260070</t>
  </si>
  <si>
    <t>3449523-9Y511007260145</t>
  </si>
  <si>
    <t>MY0547078-9Y981507260058</t>
  </si>
  <si>
    <t>3449523-8X821707260045</t>
  </si>
  <si>
    <t>3449518-9Y521607260096</t>
  </si>
  <si>
    <t>3449523-9Y521507260209</t>
  </si>
  <si>
    <t>MY0547078-8X821207260008</t>
  </si>
  <si>
    <t>3449523-9Y511007260096</t>
  </si>
  <si>
    <t>MY0547078-9Y742107260087</t>
  </si>
  <si>
    <t>3448362-9Y522207260001</t>
  </si>
  <si>
    <t>3448362-9Y982107260012</t>
  </si>
  <si>
    <t>MY0547099-9A842107260189</t>
  </si>
  <si>
    <t>MY0547099-8X822107260180</t>
  </si>
  <si>
    <t>M3448362-9Z222207260022</t>
  </si>
  <si>
    <t>3448362-9Y812207260013</t>
  </si>
  <si>
    <t>MY0547099-9Y742107260065</t>
  </si>
  <si>
    <t>MY0547099-9Y522107260058</t>
  </si>
  <si>
    <t>3449523-9Z042107260023</t>
  </si>
  <si>
    <t>MY0547099-9Y512107260077</t>
  </si>
  <si>
    <t>MY0547078-9Y512107260079</t>
  </si>
  <si>
    <t>MY0547099-9Z032107260160</t>
  </si>
  <si>
    <t>MY0547078-9Y512107260081</t>
  </si>
  <si>
    <t>3449518-9Y982107260073</t>
  </si>
  <si>
    <t>MY0547078-9A842107260073</t>
  </si>
  <si>
    <t>MY0547078-8X822107260055</t>
  </si>
  <si>
    <t>MY0547099-9E382107260122</t>
  </si>
  <si>
    <t>MY0547099-9Y512107260084</t>
  </si>
  <si>
    <t>MY0547099-9Z031607260074</t>
  </si>
  <si>
    <t>MY0547078-9Y981607260065</t>
  </si>
  <si>
    <t>3449523-9Y521707260064</t>
  </si>
  <si>
    <t>3449523-8X821507260076</t>
  </si>
  <si>
    <t>3449523-9Y981707260141</t>
  </si>
  <si>
    <t>3449523-9Y521707260069</t>
  </si>
  <si>
    <t>MY0547099-9Y521707260064</t>
  </si>
  <si>
    <t>MY0547099-9Z032107260006</t>
  </si>
  <si>
    <t>3449518-9Z031607260217</t>
  </si>
  <si>
    <t>MY0547099-9Y521707260069</t>
  </si>
  <si>
    <t>MY0547078-9A842007260003</t>
  </si>
  <si>
    <t>MY0547078-9Y981607260082</t>
  </si>
  <si>
    <t>MY0547099-9Y981707260087</t>
  </si>
  <si>
    <t>MY0547099-9Z031907260015</t>
  </si>
  <si>
    <t>3449523-9Z031707260119</t>
  </si>
  <si>
    <t>MY0547099-9Y521707260068</t>
  </si>
  <si>
    <t>MY0547078-9Y982307260034</t>
  </si>
  <si>
    <t>MY0547078-9E382207260081</t>
  </si>
  <si>
    <t>MY0547078-9Z032207260128</t>
  </si>
  <si>
    <t>3449518-9Y512207260161</t>
  </si>
  <si>
    <t>MY0547078-9E382207260080</t>
  </si>
  <si>
    <t>MY0547078-9Y512207260119</t>
  </si>
  <si>
    <t>3449518-9Y512207260117</t>
  </si>
  <si>
    <t>MY0547078-9E382207260080\\</t>
  </si>
  <si>
    <t>3449518-9Y522207260195</t>
  </si>
  <si>
    <t>3449518-9Y512207260105</t>
  </si>
  <si>
    <t>3449518-9Y512207260114</t>
  </si>
  <si>
    <t>3449518-9Y512207260110</t>
  </si>
  <si>
    <t>3449523-9Y981707260145</t>
  </si>
  <si>
    <t>MY0547099-9Y741507260066</t>
  </si>
  <si>
    <t>MY0547099-9Z032107260105</t>
  </si>
  <si>
    <t>MY0547099-9Y741607260044</t>
  </si>
  <si>
    <t>MY0547099-9Y522007260083</t>
  </si>
  <si>
    <t>MY0547078-9Y512007260067</t>
  </si>
  <si>
    <t>3449523-9Z032307260059</t>
  </si>
  <si>
    <t>MY0547078-9Y742407260033</t>
  </si>
  <si>
    <t>MY0547078-9E382207260135</t>
  </si>
  <si>
    <t>MY0547099-9Z032307260145</t>
  </si>
  <si>
    <t>MY0547099-9Z032307260068</t>
  </si>
  <si>
    <t>MY0547099-8X822407260005</t>
  </si>
  <si>
    <t>MY0547099-9Z032307260071</t>
  </si>
  <si>
    <t>3449523-9E382307260088</t>
  </si>
  <si>
    <t>MY0547099-9Y512307260183</t>
  </si>
  <si>
    <t>MY0547078-9E382407260007</t>
  </si>
  <si>
    <t>MY0547078-8X822307260096</t>
  </si>
  <si>
    <t>3449523-9E382407260048</t>
  </si>
  <si>
    <t>3449518-9Y532207260147</t>
  </si>
  <si>
    <t>MY0547099-9Y512307260188</t>
  </si>
  <si>
    <t>3449518-9Y982307260106</t>
  </si>
  <si>
    <t>MY0547099-9Y522407260049</t>
  </si>
  <si>
    <t>MY0547078-9Y982407260059</t>
  </si>
  <si>
    <t>MY0547099-9Z032307260066</t>
  </si>
  <si>
    <t>MY0547099-9Z222107260010</t>
  </si>
  <si>
    <t>MY0547099-9Z032307260110</t>
  </si>
  <si>
    <t>MY0547099-9Y982107260157</t>
  </si>
  <si>
    <t>MY0547099-9Y982107260040</t>
  </si>
  <si>
    <t>MY0547099-9Y742007260068</t>
  </si>
  <si>
    <t>MY0547099-9Z222107260016</t>
  </si>
  <si>
    <t>MY0547078-9Y512207260027</t>
  </si>
  <si>
    <t>3449518-9Y982007260079</t>
  </si>
  <si>
    <t>3449523-9E382007260006</t>
  </si>
  <si>
    <t>MY0547099-9Z042107260175</t>
  </si>
  <si>
    <t>MY0547078-8X822007260085</t>
  </si>
  <si>
    <t>MY0547078-9Y512107260086</t>
  </si>
  <si>
    <t>MY0547078-9Y512107260080</t>
  </si>
  <si>
    <t>MY0547099-9Z031607260060</t>
  </si>
  <si>
    <t>MY0547099-9E382207260021</t>
  </si>
  <si>
    <t>MY0547078-9Y512107260078</t>
  </si>
  <si>
    <t>MY0547078-9Z042007260193</t>
  </si>
  <si>
    <t>3448362-9Y521407260012</t>
  </si>
  <si>
    <t>MY0547099-9Z032307260064</t>
  </si>
  <si>
    <t>MY0547099-9E382207260010</t>
  </si>
  <si>
    <t>MY0547099-9Y512007260022</t>
  </si>
  <si>
    <t>3449523-9Y512107260001</t>
  </si>
  <si>
    <t>MY0547099-9E382107260140</t>
  </si>
  <si>
    <t>MY0547099-9E382107260135</t>
  </si>
  <si>
    <t>M3448362-9Z231507260013</t>
  </si>
  <si>
    <t>MY0547078-9Z031107260033</t>
  </si>
  <si>
    <t>MY0547099-9E382007260038</t>
  </si>
  <si>
    <t>M3448362-9Z231507260008</t>
  </si>
  <si>
    <t>3449523-8X822007260043</t>
  </si>
  <si>
    <t>3449523-8X822007260041</t>
  </si>
  <si>
    <t>MY0547099-9Z221707260030</t>
  </si>
  <si>
    <t>MY0547099-9E382007260037</t>
  </si>
  <si>
    <t>MY0547078-9Y512007260091</t>
  </si>
  <si>
    <t>MY0547099-9Z221707260035</t>
  </si>
  <si>
    <t>3448362-8X821207260005</t>
  </si>
  <si>
    <t>MY0547099-9Y522007260081</t>
  </si>
  <si>
    <t>MY0547099-9E381607260065</t>
  </si>
  <si>
    <t>MY0547099-8X821507260192</t>
  </si>
  <si>
    <t>MY0547078-9A842007260004</t>
  </si>
  <si>
    <t>MY0547078-9Y512007260044</t>
  </si>
  <si>
    <t>MY0547099-9E381707260129</t>
  </si>
  <si>
    <t>MY0547078-9Y512007260180</t>
  </si>
  <si>
    <t>MY0547078-9Y512007260074</t>
  </si>
  <si>
    <t>MY0547078-9Z031607260143</t>
  </si>
  <si>
    <t>MY0547078-9Y510907260120</t>
  </si>
  <si>
    <t>3449523-9Y521507260211</t>
  </si>
  <si>
    <t>3449518-9Y982007260194</t>
  </si>
  <si>
    <t>MY0547078-8X822007260053</t>
  </si>
  <si>
    <t>MY0547078-9Z031107260042</t>
  </si>
  <si>
    <t>MY0547099-9E382007260036</t>
  </si>
  <si>
    <t>MY0547078-9Y982007260174</t>
  </si>
  <si>
    <t>MY0547099-9Z042107260173</t>
  </si>
  <si>
    <t>MY0547078-8X822007260079</t>
  </si>
  <si>
    <t>MY0547099-9Y522307260036</t>
  </si>
  <si>
    <t>MY0547099-9Y522307260035</t>
  </si>
  <si>
    <t>MY0547078-9Y982007260173</t>
  </si>
  <si>
    <t>3449518-9Y982107260069</t>
  </si>
  <si>
    <t>MY0547099-9Z032107260163</t>
  </si>
  <si>
    <t>MY0547099-9Z032107260164</t>
  </si>
  <si>
    <t>MY0547099-9Y522307260038</t>
  </si>
  <si>
    <t>MY0547078-9Y512007260141</t>
  </si>
  <si>
    <t>MY0547099-9Y742007260070</t>
  </si>
  <si>
    <t>MY0547099-9Y742007260066</t>
  </si>
  <si>
    <t>3449518-9E382007260089</t>
  </si>
  <si>
    <t>MY0547078-9Y982007260017</t>
  </si>
  <si>
    <t>MY0547099-9Z231507260030</t>
  </si>
  <si>
    <t>MY0547078-9E382007260055</t>
  </si>
  <si>
    <t>3449523-9Y982007260058</t>
  </si>
  <si>
    <t>3449523-9Y822007260052</t>
  </si>
  <si>
    <t>MY0547099-9Y982007260092</t>
  </si>
  <si>
    <t>MY0547078-9Y742007260181</t>
  </si>
  <si>
    <t>MY0547099-9E382107260125</t>
  </si>
  <si>
    <t>MY0547078-9Y742007260187</t>
  </si>
  <si>
    <t>3449518-9Y522707260001</t>
  </si>
  <si>
    <t>MY0547078-9Z032407260083</t>
  </si>
  <si>
    <t>3449523-9Y982307260038</t>
  </si>
  <si>
    <t>3449518-9E382407260076</t>
  </si>
  <si>
    <t>MY0547099-9Z032307260165</t>
  </si>
  <si>
    <t>3448356-9Y522607260004</t>
  </si>
  <si>
    <t>MY0547078-8X822607260020</t>
  </si>
  <si>
    <t>MY0547078-9Y522707260002</t>
  </si>
  <si>
    <t>MY0547078-9E382707260015</t>
  </si>
  <si>
    <t>MY0547078-9E382707260007</t>
  </si>
  <si>
    <t>MY0547078-9Y982607260002</t>
  </si>
  <si>
    <t>MY0547078-9E382707260022</t>
  </si>
  <si>
    <t>MY0547078-9Y522607260007</t>
  </si>
  <si>
    <t>MY0547078-9Y982407260061</t>
  </si>
  <si>
    <t>3449518-9E382407260053</t>
  </si>
  <si>
    <t>3449518-9Y522407260123</t>
  </si>
  <si>
    <t>3449518-9E382407260107</t>
  </si>
  <si>
    <t>3449523-9Z032107260162</t>
  </si>
  <si>
    <t>3449523-9Y512107260196</t>
  </si>
  <si>
    <t>3449523-9Y532107260155</t>
  </si>
  <si>
    <t>3449518-9Y522107260040</t>
  </si>
  <si>
    <t>3448362-9Y982207260008</t>
  </si>
  <si>
    <t>MY0547078-9Z032107260033</t>
  </si>
  <si>
    <t>3449523-9Y512107260006</t>
  </si>
  <si>
    <t>3449523-9Y512107260002</t>
  </si>
  <si>
    <t>3449518-9Y982007260201</t>
  </si>
  <si>
    <t>3449523-9Y742107260029</t>
  </si>
  <si>
    <t>3448362-9Y742207260015</t>
  </si>
  <si>
    <t>3449518-9E382107260031</t>
  </si>
  <si>
    <t>MY0547078-9Y512207260035</t>
  </si>
  <si>
    <t>3449518-9Z032007260173</t>
  </si>
  <si>
    <t>MY0547099-9Y982107260150</t>
  </si>
  <si>
    <t>MY0547099-8X822407260021</t>
  </si>
  <si>
    <t>MY0547099-9Y512207260026</t>
  </si>
  <si>
    <t>MY0547099-9Z042107260168</t>
  </si>
  <si>
    <t>3449518-8X822007260204</t>
  </si>
  <si>
    <t>MY0547099-9Y982107260143</t>
  </si>
  <si>
    <t>MY0547099-9Z042107260167</t>
  </si>
  <si>
    <t>3449523-9Z032107260161</t>
  </si>
  <si>
    <t>3449518-9E382107260011</t>
  </si>
  <si>
    <t>MY0547099-9Z032307260072</t>
  </si>
  <si>
    <t>MY0547078-9A842107260060</t>
  </si>
  <si>
    <t>3449518-9Z032107260089</t>
  </si>
  <si>
    <t>MY0547099-9Z031407260032</t>
  </si>
  <si>
    <t>MY0547099-8X822107260188</t>
  </si>
  <si>
    <t>MY0547099-9Z031507260022</t>
  </si>
  <si>
    <t>3449518-9Y742207260227</t>
  </si>
  <si>
    <t>3449523-9Y982307260028</t>
  </si>
  <si>
    <t>3449518-9Z042307260064</t>
  </si>
  <si>
    <t>3449523-9Y522307260156</t>
  </si>
  <si>
    <t>3449518-9Z042307260068</t>
  </si>
  <si>
    <t>3448362-9Y982207260002</t>
  </si>
  <si>
    <t>3449518-9Z042207260048</t>
  </si>
  <si>
    <t>MY0547078-9E382207260136</t>
  </si>
  <si>
    <t>3449523-9Y742107260027</t>
  </si>
  <si>
    <t>3449523-9Y522207260041</t>
  </si>
  <si>
    <t>MY0547099-9Z031507260161</t>
  </si>
  <si>
    <t>3449523-9Z032107260205</t>
  </si>
  <si>
    <t>MY0547099-9Z032107260159</t>
  </si>
  <si>
    <t>MY0547099-9E380807260061</t>
  </si>
  <si>
    <t>3448362-8X822107260004</t>
  </si>
  <si>
    <t>MY0547078-9E381407260110</t>
  </si>
  <si>
    <t>MY0547099-9E380807260044</t>
  </si>
  <si>
    <t>3448362-8X822107260007</t>
  </si>
  <si>
    <t>MY0547078-9Y510907260114</t>
  </si>
  <si>
    <t>MY0547099-9Z032107260166</t>
  </si>
  <si>
    <t>MY0547099-9Y512107260018</t>
  </si>
  <si>
    <t>MY0547099-9E382107260139</t>
  </si>
  <si>
    <t>3448362-8X822107260011</t>
  </si>
  <si>
    <t>MY0547099-9Y742007260072</t>
  </si>
  <si>
    <t>MY0547099-9Y511707260093</t>
  </si>
  <si>
    <t>MY0547099-9E382207260005</t>
  </si>
  <si>
    <t>MY0547099-9Y742007260069</t>
  </si>
  <si>
    <t>3449518-9Y512007260138</t>
  </si>
  <si>
    <t>MY0547099-8X821007260070</t>
  </si>
  <si>
    <t>M3449518-9Z221707260008</t>
  </si>
  <si>
    <t>MY0547099-9Z222007260013</t>
  </si>
  <si>
    <t>MY0547099-8X822107260181</t>
  </si>
  <si>
    <t>MY0547099-8X822107260184</t>
  </si>
  <si>
    <t>MY0547099-9Y982107260146</t>
  </si>
  <si>
    <t>3449523-9Z032007260019</t>
  </si>
  <si>
    <t>3449523-9E382107260090</t>
  </si>
  <si>
    <t>MY0547099-9Y522307260042</t>
  </si>
  <si>
    <t>MY0547099-9E382307260009</t>
  </si>
  <si>
    <t>MY0547099-9E382307260011</t>
  </si>
  <si>
    <t>MY0547099-9Y522307260039</t>
  </si>
  <si>
    <t>3449523-8X822007260048</t>
  </si>
  <si>
    <t>3449523-9Y512107260007</t>
  </si>
  <si>
    <t>3449523-9Z032107260164</t>
  </si>
  <si>
    <t>3449518-9Z032207260012</t>
  </si>
  <si>
    <t>3449518-9E382207260194</t>
  </si>
  <si>
    <t>3449523-9Y511607260004</t>
  </si>
  <si>
    <t>MY0547099-8X821407260045</t>
  </si>
  <si>
    <t>MY0547078-9E380107260038</t>
  </si>
  <si>
    <t>MY0547099-8X822007260050</t>
  </si>
  <si>
    <t>3449523-9E381007260140</t>
  </si>
  <si>
    <t>3449523-9Z041307260024</t>
  </si>
  <si>
    <t>MY0547099-9Z031407260017</t>
  </si>
  <si>
    <t>MY0547078-9E382207260157</t>
  </si>
  <si>
    <t>MY0547078-9E382207260155</t>
  </si>
  <si>
    <t>3449523-9Y740807260154</t>
  </si>
  <si>
    <t>MY0547099-9Z031407260010</t>
  </si>
  <si>
    <t>MY0547099-9Y982107260042</t>
  </si>
  <si>
    <t>M3449518-9Z222207260175</t>
  </si>
  <si>
    <t>MY0547099-9Z031507260160</t>
  </si>
  <si>
    <t>MY0547099-9Y981707260005</t>
  </si>
  <si>
    <t>MY0547078-9Z231607260088</t>
  </si>
  <si>
    <t>MY0547078-9Z032207260053</t>
  </si>
  <si>
    <t>3449523-9E382307260095</t>
  </si>
  <si>
    <t>MY0547078-9Y512207260117</t>
  </si>
  <si>
    <t>MY0547078-9Z232207260056</t>
  </si>
  <si>
    <t>3449523-9Y511707260022</t>
  </si>
  <si>
    <t>MY0547078-9Z232207260090</t>
  </si>
  <si>
    <t>3449518-9Z032407260023</t>
  </si>
  <si>
    <t>MY0547099-9Z221307260196</t>
  </si>
  <si>
    <t>MY0547078-9E382707260026</t>
  </si>
  <si>
    <t>MY0547078-9Y982707260185</t>
  </si>
  <si>
    <t>3449518-8X822807260006</t>
  </si>
  <si>
    <t>MY0547078-8X822807260018</t>
  </si>
  <si>
    <t>MY0547078-9Y512707260138</t>
  </si>
  <si>
    <t>MY0547078-9Y512707260144</t>
  </si>
  <si>
    <t>3449518-9Y522707260117</t>
  </si>
  <si>
    <t>MY0547078-9Y512707260123</t>
  </si>
  <si>
    <t>MY0547078-9Y522607260047</t>
  </si>
  <si>
    <t>MY0547078-9Y512707260148</t>
  </si>
  <si>
    <t>3449518-9E382707260077</t>
  </si>
  <si>
    <t>MY0547078-9Y512407260082</t>
  </si>
  <si>
    <t>MY0547078-8X822807260013</t>
  </si>
  <si>
    <t>MY0547078-8X822307260059</t>
  </si>
  <si>
    <t>MY0547078-9Y742307260032</t>
  </si>
  <si>
    <t>MY0547099-9Y512307260029</t>
  </si>
  <si>
    <t>MY0547099-9Y512307260119</t>
  </si>
  <si>
    <t>3449523-9E382107260095</t>
  </si>
  <si>
    <t>MY0547099-9Y521407260050</t>
  </si>
  <si>
    <t>MY0547099-9E380807260053</t>
  </si>
  <si>
    <t>MY0547099-9Z231507260028</t>
  </si>
  <si>
    <t>MY0547099-9Z221307260191</t>
  </si>
  <si>
    <t>M3449518-9Z222307260034</t>
  </si>
  <si>
    <t>MY0547099-9Z032307260169</t>
  </si>
  <si>
    <t>MY0547099-8X821007260071</t>
  </si>
  <si>
    <t>MY0547099-9Z031407260034</t>
  </si>
  <si>
    <t>3449518-9Y522207260210</t>
  </si>
  <si>
    <t>MY0547099-9Y741607260018</t>
  </si>
  <si>
    <t>3449518-9Y982307260095</t>
  </si>
  <si>
    <t>MY0547078-9Y522207260069</t>
  </si>
  <si>
    <t>3449518-9Y512407260101</t>
  </si>
  <si>
    <t>MY0547078-9Y532307260017</t>
  </si>
  <si>
    <t>3449518-8X822407260019</t>
  </si>
  <si>
    <t>3449518-9Y512407260105</t>
  </si>
  <si>
    <t>MY0547099-9Z032307260001</t>
  </si>
  <si>
    <t>3449523-9Y982207260097</t>
  </si>
  <si>
    <t>3449518-9E382007260098</t>
  </si>
  <si>
    <t>3449518-9Z032207260016</t>
  </si>
  <si>
    <t>M3449523-9Z232107260041</t>
  </si>
  <si>
    <t>MY0547099-9Y512307260142</t>
  </si>
  <si>
    <t>3449523-9Z042107260100</t>
  </si>
  <si>
    <t>MY0547099-9Y741607260093</t>
  </si>
  <si>
    <t>MY0547099-9Y982307260008</t>
  </si>
  <si>
    <t>3449523-9Y982207260102</t>
  </si>
  <si>
    <t>MY0547099-9Y512307260030</t>
  </si>
  <si>
    <t>3449523-9Y982207260099</t>
  </si>
  <si>
    <t>MY0547078-9Y522207260085</t>
  </si>
  <si>
    <t>MY0547099-9Y982307260125</t>
  </si>
  <si>
    <t>MY0547078-9Z222807260060</t>
  </si>
  <si>
    <t>MY0547099-8X822907260001</t>
  </si>
  <si>
    <t>3449518-8X822807260036</t>
  </si>
  <si>
    <t>MY0547099-9Y512807260122</t>
  </si>
  <si>
    <t>MY0547078-9Y822807260136</t>
  </si>
  <si>
    <t>3449518-9Z042807260139</t>
  </si>
  <si>
    <t>3449518-9Z042807260066</t>
  </si>
  <si>
    <t>MY0547099-9E382807260096</t>
  </si>
  <si>
    <t>3449523-9Y522907260066</t>
  </si>
  <si>
    <t>3449518-9Z032807260086</t>
  </si>
  <si>
    <t>3449518-9Z032807260112</t>
  </si>
  <si>
    <t>3449518-9Y522707260119</t>
  </si>
  <si>
    <t>3449523-9Y512807260120</t>
  </si>
  <si>
    <t>3449518-9Z032807260143</t>
  </si>
  <si>
    <t>MY0547099-8X822407260026</t>
  </si>
  <si>
    <t>MY0547078-9E382307260110</t>
  </si>
  <si>
    <t>MY0547099-9E381507260135</t>
  </si>
  <si>
    <t>MY0547099-9Y521607260027</t>
  </si>
  <si>
    <t>MY0547099-8X822407260033</t>
  </si>
  <si>
    <t>MY0547099-9Z031607260036</t>
  </si>
  <si>
    <t>MY0547078-9Y512407260020</t>
  </si>
  <si>
    <t>MY0547099-9Z042107260172</t>
  </si>
  <si>
    <t>MY0547099-9Y521007260151</t>
  </si>
  <si>
    <t>MY0547099-9Y521507260190</t>
  </si>
  <si>
    <t>MY0547099-9Y511607260088</t>
  </si>
  <si>
    <t>MY0547099-9Z031407260016</t>
  </si>
  <si>
    <t>3449523-9Z032307260109</t>
  </si>
  <si>
    <t>MY0547078-9Y512407260018</t>
  </si>
  <si>
    <t>MY0547078-9E381407260183</t>
  </si>
  <si>
    <t>3449518-9Y531407260025</t>
  </si>
  <si>
    <t>MY0547078-9Y512907260066</t>
  </si>
  <si>
    <t>3449518-9Y522707260129</t>
  </si>
  <si>
    <t>MY0547099-9Y982907260089</t>
  </si>
  <si>
    <t>MY0547099-9Y812907260061</t>
  </si>
  <si>
    <t>3449518-9Z032807260087</t>
  </si>
  <si>
    <t>MY0547099-9E382807260093</t>
  </si>
  <si>
    <t>MY0547099-9Y742707260022</t>
  </si>
  <si>
    <t>3449518-9E382707260083</t>
  </si>
  <si>
    <t>MY0547078-9Y512707260137</t>
  </si>
  <si>
    <t>prefakturovano</t>
  </si>
  <si>
    <t>MY0547099-9E382707260102</t>
  </si>
  <si>
    <t>MY0547078-9A842607260038</t>
  </si>
  <si>
    <t>MY0547099-9A842707260091</t>
  </si>
  <si>
    <t>MY0547078-9A842607260031</t>
  </si>
  <si>
    <t>MY0547078-9E382707260018</t>
  </si>
  <si>
    <t>MY0547099-9Y522707260019</t>
  </si>
  <si>
    <t>MY0547099-8X822707260050</t>
  </si>
  <si>
    <t>MY0547078-9E382707260020</t>
  </si>
  <si>
    <t>MY0547078-9Y512707260111</t>
  </si>
  <si>
    <t>MY0547078-9Y512707260146</t>
  </si>
  <si>
    <t>MY0547078-9E382707260048</t>
  </si>
  <si>
    <t>MY0547078-9Y982407260079</t>
  </si>
  <si>
    <t>MY0547078-9Y742807260002</t>
  </si>
  <si>
    <t>3449518-9Z032307260052</t>
  </si>
  <si>
    <t>MY0547099-9E382807260013</t>
  </si>
  <si>
    <t>MY0547099-9E382807260029</t>
  </si>
  <si>
    <t>MY0547078-9Z222707260173</t>
  </si>
  <si>
    <t>MY0547078-9Y512707260145</t>
  </si>
  <si>
    <t>MY0547078-9Y982807260025</t>
  </si>
  <si>
    <t>MY0547078-9E382707260067</t>
  </si>
  <si>
    <t>3449518-9Y512807260021</t>
  </si>
  <si>
    <t>MY0547099-9E382807260036</t>
  </si>
  <si>
    <t>MY0547099-9Y522707260012</t>
  </si>
  <si>
    <t>3448362-9Y521207260032</t>
  </si>
  <si>
    <t>3449523-9Y522907260065</t>
  </si>
  <si>
    <t>MY0547078-9Z032907260059</t>
  </si>
  <si>
    <t>MY0547078-9E382707260035</t>
  </si>
  <si>
    <t>MY0547099-9Y742707260033</t>
  </si>
  <si>
    <t>M3449518-9Z222907260043</t>
  </si>
  <si>
    <t>3449523-9Y512907260102</t>
  </si>
  <si>
    <t>3449523-9A842807260045</t>
  </si>
  <si>
    <t>3449523-9A842307260047</t>
  </si>
  <si>
    <t>3449523-9Y512907260036</t>
  </si>
  <si>
    <t>3449523-9E382807260069</t>
  </si>
  <si>
    <t>3449523-9E382807260035</t>
  </si>
  <si>
    <t>MY0547099-9E382807260091</t>
  </si>
  <si>
    <t>MY0547099-9Y742907260052</t>
  </si>
  <si>
    <t>3449523-9E382807260053</t>
  </si>
  <si>
    <t>3449523-9E382807260052</t>
  </si>
  <si>
    <t>3449523-9Y742907260077</t>
  </si>
  <si>
    <t>3449523-9E382407260042</t>
  </si>
  <si>
    <t>3449523-9E382807260067</t>
  </si>
  <si>
    <t>MY0547099-9Y982907260103</t>
  </si>
  <si>
    <t>MY0547099-9E382807260052</t>
  </si>
  <si>
    <t>MY0547099-9Y822907260056</t>
  </si>
  <si>
    <t>MY0547099-9Z031808260007</t>
  </si>
  <si>
    <t>MY0547099-9Z031808260001</t>
  </si>
  <si>
    <t>MY0547099-9Z221708260038</t>
  </si>
  <si>
    <t>3448362-9Y521808260008</t>
  </si>
  <si>
    <t>MY0547099-9E381808260066</t>
  </si>
  <si>
    <t>MY0547099-9Z221708260093</t>
  </si>
  <si>
    <t>MY0547099-9Z031708260106</t>
  </si>
  <si>
    <t>MY0547099-9Z221708260078</t>
  </si>
  <si>
    <t>3448362-9Y521808260005</t>
  </si>
  <si>
    <t>MY0547099-9Z031708260027</t>
  </si>
  <si>
    <t>MY0547099-9Z041708260058</t>
  </si>
  <si>
    <t>3449518-9Y981708260040</t>
  </si>
  <si>
    <t>MY0547099-9Z031708260048</t>
  </si>
  <si>
    <t>3449523-9Y981708260026</t>
  </si>
  <si>
    <t>MY0547099-9Z031708260031</t>
  </si>
  <si>
    <t>MY0547099-9Z031708260025</t>
  </si>
  <si>
    <t>MY0547099-9Z221708260035</t>
  </si>
  <si>
    <t>3448356-9Y981708260019</t>
  </si>
  <si>
    <t>3449518-9E381908260007</t>
  </si>
  <si>
    <t>MY0547078-9Z031808260029</t>
  </si>
  <si>
    <t>MY0547099-9E381808260115</t>
  </si>
  <si>
    <t>M3449518-9Z221808260006</t>
  </si>
  <si>
    <t>MY0547099-9Z041808260094</t>
  </si>
  <si>
    <t>3449518-9E381908260010</t>
  </si>
  <si>
    <t>MY0547078-9Z031808260035</t>
  </si>
  <si>
    <t>3449518-9E381808260049</t>
  </si>
  <si>
    <t>MY0547078-9Y521808260010</t>
  </si>
  <si>
    <t>MY0547078-9E381908260006</t>
  </si>
  <si>
    <t>MY0547078-9E381808260100</t>
  </si>
  <si>
    <t>MY0547099-9E381808260129</t>
  </si>
  <si>
    <t>MY0547078-9E381808260110</t>
  </si>
  <si>
    <t>3449518-9Y532008260042</t>
  </si>
  <si>
    <t>MY0547078-9Y982008260029</t>
  </si>
  <si>
    <t>3449518-9E381908260145</t>
  </si>
  <si>
    <t>MY0547078-9E381908260056</t>
  </si>
  <si>
    <t>3448362-9Y741908260031</t>
  </si>
  <si>
    <t>MY0547078-9Y521808260004</t>
  </si>
  <si>
    <t>MY0547099-8X821908260038</t>
  </si>
  <si>
    <t>M3449523-9Z221908260042</t>
  </si>
  <si>
    <t>3448362-9Y511908260014</t>
  </si>
  <si>
    <t>3449518-9E381908260155</t>
  </si>
  <si>
    <t>3448362-9Y511908260012</t>
  </si>
  <si>
    <t>MY0547078-9Y522207260067</t>
  </si>
  <si>
    <t>3449523-9Z032307260107</t>
  </si>
  <si>
    <t>3449523-9Y522108260050</t>
  </si>
  <si>
    <t>MY0547099-9Y742108260008</t>
  </si>
  <si>
    <t>MY0547099-8X822108260034</t>
  </si>
  <si>
    <t>MY0547099-9Y742108260016</t>
  </si>
  <si>
    <t>3449523-9Y982108260046</t>
  </si>
  <si>
    <t>MY0547078-9E382108260004</t>
  </si>
  <si>
    <t>3449523-9Y982108260010</t>
  </si>
  <si>
    <t>MY0547099-9Y512008260008</t>
  </si>
  <si>
    <t>MY0547099-9E382107260123</t>
  </si>
  <si>
    <t>3449518-9E381908260043</t>
  </si>
  <si>
    <t>3449523-9Y982108260014</t>
  </si>
  <si>
    <t>MY0547099-9Y522008260026</t>
  </si>
  <si>
    <t>MY0547078-9E382008260098</t>
  </si>
  <si>
    <t>MY0547099-8X822108260036</t>
  </si>
  <si>
    <t>3449523-9Y522107260227</t>
  </si>
  <si>
    <t>MY0547078-9Y521808260129</t>
  </si>
  <si>
    <t>3449523-9Z032307260106</t>
  </si>
  <si>
    <t>\loose leather</t>
  </si>
  <si>
    <t>3449523-9Z032107260159</t>
  </si>
  <si>
    <t>MY0547078-9Y981808260152</t>
  </si>
  <si>
    <t>MY0547078-9Y521808260134</t>
  </si>
  <si>
    <t>3449518-9Y741708260022</t>
  </si>
  <si>
    <t>3449518-9Y522707260122</t>
  </si>
  <si>
    <t>3448362-9Y812207260021</t>
  </si>
  <si>
    <t>3448356-9Y741708260016</t>
  </si>
  <si>
    <t>MY0547099-9Y521507260184</t>
  </si>
  <si>
    <t>3449518-9Z031708260003</t>
  </si>
  <si>
    <t>3449518-9Z031708260010</t>
  </si>
  <si>
    <t>3449523-8X822107260181</t>
  </si>
  <si>
    <t>3449518-9Z032807260113</t>
  </si>
  <si>
    <t>MY0547078-9A842307260082</t>
  </si>
  <si>
    <t>3449523-9Y512406260077</t>
  </si>
  <si>
    <t>MY0547099-9E382807260037</t>
  </si>
  <si>
    <t>3449518-9Y981708260030</t>
  </si>
  <si>
    <t>MY0547099-9Z031708260089</t>
  </si>
  <si>
    <t>MY0547078-9Z031808260040</t>
  </si>
  <si>
    <t>MY0547099-9Z031708260015</t>
  </si>
  <si>
    <t>MY0547099-9Z041708260073</t>
  </si>
  <si>
    <t>3449518-8X822207260056</t>
  </si>
  <si>
    <t>3449518-8X821908260014</t>
  </si>
  <si>
    <t>3449518-8X821908260015</t>
  </si>
  <si>
    <t>MY0547078-9Z041708260003</t>
  </si>
  <si>
    <t>3449518-9Y981708260027</t>
  </si>
  <si>
    <t>M3449523-9Z222207260087</t>
  </si>
  <si>
    <t>MY0547099-9Y512307260193</t>
  </si>
  <si>
    <t>MY0547099-9Y512307260197</t>
  </si>
  <si>
    <t>3448356-9Y511708260004</t>
  </si>
  <si>
    <t>3448356-9Y511708260007</t>
  </si>
  <si>
    <t>3449518-9Y512108260043</t>
  </si>
  <si>
    <t>3449523-8X822108260106</t>
  </si>
  <si>
    <t>MY0547099-9Y512308260044</t>
  </si>
  <si>
    <t>MY0547078-9Y512108260029</t>
  </si>
  <si>
    <t>3449523-8X822108260064</t>
  </si>
  <si>
    <t>3449518-9Y521908260068</t>
  </si>
  <si>
    <t>MY0547078-9E381808260095</t>
  </si>
  <si>
    <t>M3449523-9Z221908260058</t>
  </si>
  <si>
    <t>3449518-9Y521908260064</t>
  </si>
  <si>
    <t>MY0547078-9E381908260022</t>
  </si>
  <si>
    <t>3449518-8X821908260027</t>
  </si>
  <si>
    <t>M3449523-9Z221908260036</t>
  </si>
  <si>
    <t>MY0547099-9Y981908260025</t>
  </si>
  <si>
    <t>3449518-8X821908260026</t>
  </si>
  <si>
    <t>MY0547078-9E381808260105</t>
  </si>
  <si>
    <t>MY0547078-8X821802260036</t>
  </si>
  <si>
    <t>MY0547078-9E381808260116</t>
  </si>
  <si>
    <t>MY0547099-9Y981808260020</t>
  </si>
  <si>
    <t>MY0547078-8X821802260035</t>
  </si>
  <si>
    <t>MY0547078-8X821802260043</t>
  </si>
  <si>
    <t>MY0547078-9Y741908260014</t>
  </si>
  <si>
    <t>MY0547078-8X821802260039</t>
  </si>
  <si>
    <t>MY0547099-9Y741908260015</t>
  </si>
  <si>
    <t>MY0547078-8X821802260040</t>
  </si>
  <si>
    <t>3449523-9Y521708260005</t>
  </si>
  <si>
    <t>3449523-9Y521708260007</t>
  </si>
  <si>
    <t>3449523-9Y521708260018</t>
  </si>
  <si>
    <t>3449518-9Y521908260089</t>
  </si>
  <si>
    <t>3449523-9Y521708260016</t>
  </si>
  <si>
    <t>MY0547099-9Y981808260035</t>
  </si>
  <si>
    <t>3449523-9Y521708260023</t>
  </si>
  <si>
    <t>MY0547099-9Z031708260003</t>
  </si>
  <si>
    <t>3449518-8X821908260011</t>
  </si>
  <si>
    <t>MY0547099-9Y741808260001</t>
  </si>
  <si>
    <t>3449518-9Z041808260025</t>
  </si>
  <si>
    <t>MY0547078-9Y981808260145</t>
  </si>
  <si>
    <t>3449518-8X821908260009</t>
  </si>
  <si>
    <t>MY0547078-9E381808260047</t>
  </si>
  <si>
    <t>MY0547078-9E381808260054</t>
  </si>
  <si>
    <t>MY0547078-9Y521808260137</t>
  </si>
  <si>
    <t>MY0547099-9Y981808260013</t>
  </si>
  <si>
    <t>MY0547099-9Y981808260009</t>
  </si>
  <si>
    <t>3449523-9Y521708260008</t>
  </si>
  <si>
    <t>M3449518-9Z221708260073</t>
  </si>
  <si>
    <t>M3449518-9Z221708260070</t>
  </si>
  <si>
    <t>MY0547099-9E382807260089</t>
  </si>
  <si>
    <t>M3449518-9Z221808260003</t>
  </si>
  <si>
    <t>3449523-9Y521708260004</t>
  </si>
  <si>
    <t>MY0547099-9E382807260111</t>
  </si>
  <si>
    <t>M3449518-9Z221708260068</t>
  </si>
  <si>
    <t>3449518-9E382408260022</t>
  </si>
  <si>
    <t>3449518-9Z042408260033</t>
  </si>
  <si>
    <t>MY0547099-9Y982408260055</t>
  </si>
  <si>
    <t>3449518-9E382408260101</t>
  </si>
  <si>
    <t>MY0547078-8X822408260089</t>
  </si>
  <si>
    <t>3449523-9E382408260129</t>
  </si>
  <si>
    <t>3449518-9Y982408260150</t>
  </si>
  <si>
    <t>MY0547099-8X822408260153</t>
  </si>
  <si>
    <t>MY0547078-9Z032408260015</t>
  </si>
  <si>
    <t>3449518-9Z042408260040</t>
  </si>
  <si>
    <t>3449518-9Y742408260054</t>
  </si>
  <si>
    <t>3449523-9E382408260107</t>
  </si>
  <si>
    <t>MY0547078-8X822408260090</t>
  </si>
  <si>
    <t>MY0547099-9Y981908260017</t>
  </si>
  <si>
    <t>MY0547099-9Y512008260033</t>
  </si>
  <si>
    <t>MY0547078-9Y512008260041</t>
  </si>
  <si>
    <t>MY0547078-9Z031808260034</t>
  </si>
  <si>
    <t>3449518-8X822008260016</t>
  </si>
  <si>
    <t>MY0547078-9Y982008260026</t>
  </si>
  <si>
    <t>3449518-8X822008260021</t>
  </si>
  <si>
    <t>MY0547099-9Y981908260033</t>
  </si>
  <si>
    <t>3449518-9Y982008260027</t>
  </si>
  <si>
    <t>M3449523-9Z221908260030</t>
  </si>
  <si>
    <t>MY0547099-9Y982108260106</t>
  </si>
  <si>
    <t>MY0547078-9Y982008260018</t>
  </si>
  <si>
    <t>MY0547078-9A841908260117</t>
  </si>
  <si>
    <t>MY0547078-9Y511908260126</t>
  </si>
  <si>
    <t>3449518-9E382108260007</t>
  </si>
  <si>
    <t>MY0547078-9Y521908260093</t>
  </si>
  <si>
    <t>MY0547099-9Z041908260016</t>
  </si>
  <si>
    <t>3449523-8X821908260118</t>
  </si>
  <si>
    <t>3449523-8X822807260042</t>
  </si>
  <si>
    <t>3448356-9Y741908260009</t>
  </si>
  <si>
    <t>3449523-9Y512008260004</t>
  </si>
  <si>
    <t>MY0547099-9E382807260082</t>
  </si>
  <si>
    <t>3449523-9E382508260146</t>
  </si>
  <si>
    <t>3449518-9E382508260051</t>
  </si>
  <si>
    <t>MY0547099-9Z032508260047</t>
  </si>
  <si>
    <t>MY0547078-9E382508260033</t>
  </si>
  <si>
    <t>3449523-9E382608260020</t>
  </si>
  <si>
    <t>MY0547078-9E382508260037</t>
  </si>
  <si>
    <t>3449523-8X822608260028</t>
  </si>
  <si>
    <t>3449523-9E382508260177</t>
  </si>
  <si>
    <t>MY0547099-9Y812608260057</t>
  </si>
  <si>
    <t>MY0547078-9E382508260047</t>
  </si>
  <si>
    <t>MY0547099-9Y742608260048</t>
  </si>
  <si>
    <t>3449523-8X822608260037</t>
  </si>
  <si>
    <t>3449523-9Y982508260042</t>
  </si>
  <si>
    <t>MY0547078-9E382508260034</t>
  </si>
  <si>
    <t>3449518-9Y982008260040</t>
  </si>
  <si>
    <t>MY0547099-9Y522008260032</t>
  </si>
  <si>
    <t>MY0547099-8X821908260049</t>
  </si>
  <si>
    <t>MY0547078-9E382707260016</t>
  </si>
  <si>
    <t>MY0547099-9E382008260048</t>
  </si>
  <si>
    <t>MY0547099-9Y742108260026</t>
  </si>
  <si>
    <t>3449523-8X822008260027</t>
  </si>
  <si>
    <t>3449523-9Y522108260038</t>
  </si>
  <si>
    <t>MY0547099-9Z032408260001</t>
  </si>
  <si>
    <t>3449523-9Y522108260061</t>
  </si>
  <si>
    <t>3449518-9Y512108260014</t>
  </si>
  <si>
    <t>3449523-9E382008260071</t>
  </si>
  <si>
    <t>MY0547099-9Y522608260122</t>
  </si>
  <si>
    <t>MY0547099-9Z042608260138</t>
  </si>
  <si>
    <t>MY0547078-9Y982608260100</t>
  </si>
  <si>
    <t>3449518-9Y512608260134</t>
  </si>
  <si>
    <t>3449518-8X822608260146</t>
  </si>
  <si>
    <t>3449523-9Y742608260099</t>
  </si>
  <si>
    <t>MY0547078-9Y512608260081</t>
  </si>
  <si>
    <t>3449523-9Y982608260132</t>
  </si>
  <si>
    <t>3449523-9Y742608260103</t>
  </si>
  <si>
    <t>3449523-9Y512008260037</t>
  </si>
  <si>
    <t>3449523-9Y512008260048</t>
  </si>
  <si>
    <t>M3448362-9Z222308260001</t>
  </si>
  <si>
    <t>3449523-9Y512008260024</t>
  </si>
  <si>
    <t>3449523-9Z042008260065</t>
  </si>
  <si>
    <t>MY0547099-9Y742108260020</t>
  </si>
  <si>
    <t>MY0547099-9Y742108260018</t>
  </si>
  <si>
    <t>3449523-9Y982108260012</t>
  </si>
  <si>
    <t>3449523-9Y982308260024</t>
  </si>
  <si>
    <t>3449523-9Y982108260049</t>
  </si>
  <si>
    <t>M3449523-9Z231908260113</t>
  </si>
  <si>
    <t>3449523-9E382008260063</t>
  </si>
  <si>
    <t>3449523-9Z042008260044</t>
  </si>
  <si>
    <t>3449523-9E382808260044</t>
  </si>
  <si>
    <t>MY0547099-9E382808260051</t>
  </si>
  <si>
    <t>MY0547078-9Y982708260095</t>
  </si>
  <si>
    <t>3449518-9Y512708260125</t>
  </si>
  <si>
    <t>3449518-9Y512708260140</t>
  </si>
  <si>
    <t>3449518-9E382708260001</t>
  </si>
  <si>
    <t>3449523-9Z032708260123</t>
  </si>
  <si>
    <t>3449518-9Y512708260112</t>
  </si>
  <si>
    <t>MY0547078-9Z232708260022</t>
  </si>
  <si>
    <t>MY0547078-9E382508260058</t>
  </si>
  <si>
    <t>3449518-9Y522708260070</t>
  </si>
  <si>
    <t>MY0547099-9E382708260038</t>
  </si>
  <si>
    <t>3449523-9Z032708260095</t>
  </si>
  <si>
    <t>3449523-9Y522708260084</t>
  </si>
  <si>
    <t>3448356-9Y522708260051</t>
  </si>
  <si>
    <t>MY0547099-9Y982708260127</t>
  </si>
  <si>
    <t>MY0547099-9Y982708260125</t>
  </si>
  <si>
    <t>3449518-9Y512508260018</t>
  </si>
  <si>
    <t>3449518-9Y522508260018</t>
  </si>
  <si>
    <t>MY0547099-9Y982408260054</t>
  </si>
  <si>
    <t>MY0547078-9Y742508260003</t>
  </si>
  <si>
    <t>MY0547099-9Y741908260007</t>
  </si>
  <si>
    <t>3449518-9E382408260123</t>
  </si>
  <si>
    <t>MY0547099-9Y512408260143</t>
  </si>
  <si>
    <t>3449523-9E382408260098</t>
  </si>
  <si>
    <t>3449518-9Z042408260032</t>
  </si>
  <si>
    <t>3449523-9E382408260100</t>
  </si>
  <si>
    <t>MY0547099-9Y512408260135</t>
  </si>
  <si>
    <t>M3448356-9Z222408260018</t>
  </si>
  <si>
    <t>MY0547078-9E382408260109</t>
  </si>
  <si>
    <t>MY0547078-9Z042408260067</t>
  </si>
  <si>
    <t>MY0547078-9Y512108260035</t>
  </si>
  <si>
    <t>3449518-9Y742408260078</t>
  </si>
  <si>
    <t>MY0547078-9E382108260001</t>
  </si>
  <si>
    <t>MY0547099-9E382408260083</t>
  </si>
  <si>
    <t>MY0547078-9E382408260119</t>
  </si>
  <si>
    <t>MY0547099-9E382408260070</t>
  </si>
  <si>
    <t>MY0547099-9E382408260076</t>
  </si>
  <si>
    <t>MY0547099-9Y512408260147</t>
  </si>
  <si>
    <t>3449518-9Y512408260003</t>
  </si>
  <si>
    <t>3449518-9Y512508260022</t>
  </si>
  <si>
    <t>3449518-9Y512508260031</t>
  </si>
  <si>
    <t>3449518-9E382408260093</t>
  </si>
  <si>
    <t>3448362-9E383108260009</t>
  </si>
  <si>
    <t>3448362-8X823108260014</t>
  </si>
  <si>
    <t>3449523-9Y513108260033</t>
  </si>
  <si>
    <t>3449523-9Y513108260010</t>
  </si>
  <si>
    <t>MY0547099-9E382808260048</t>
  </si>
  <si>
    <t>3449518-9Y512808260033</t>
  </si>
  <si>
    <t>3449518-9Y512808260040</t>
  </si>
  <si>
    <t>MY0547078-9Y982708260070</t>
  </si>
  <si>
    <t>3449518-9E382808260045</t>
  </si>
  <si>
    <t>3449518-9E382808260042</t>
  </si>
  <si>
    <t>3449518-9Y512808260054</t>
  </si>
  <si>
    <t>3449523-9Y523108260017</t>
  </si>
  <si>
    <t>MY0547078-9Z032808260048</t>
  </si>
  <si>
    <t>MY0547099-9Y523008260017</t>
  </si>
  <si>
    <t>MY0547099-9Y523008260006</t>
  </si>
  <si>
    <t>MY0547099-9Y523008260010</t>
  </si>
  <si>
    <t>3449518-9E382808260050</t>
  </si>
  <si>
    <t>3448362-9Y512508260008</t>
  </si>
  <si>
    <t>3448362-9Y512508260019</t>
  </si>
  <si>
    <t>3448362-9Y512508260004</t>
  </si>
  <si>
    <t>MY0547099-9Y522008260058</t>
  </si>
  <si>
    <t>3448362-9A840202260034</t>
  </si>
  <si>
    <t>3449518-9Z042608260106</t>
  </si>
  <si>
    <t>MY0547099-9Y522907260014</t>
  </si>
  <si>
    <t>3449523-8X822608260115</t>
  </si>
  <si>
    <t>MY0547078-9Y512608260001</t>
  </si>
  <si>
    <t>3448362-9Y512508260005</t>
  </si>
  <si>
    <t>3448362-9Y512508260007</t>
  </si>
  <si>
    <t>3449518-9Y512708260118</t>
  </si>
  <si>
    <t>MY0547099-9Y522708260062</t>
  </si>
  <si>
    <t>MY0547099-9Y512308260043</t>
  </si>
  <si>
    <t>MY0547078-9Y522608260070</t>
  </si>
  <si>
    <t>3449518-9Z042608260163</t>
  </si>
  <si>
    <t>MY0547099-9E382708260034</t>
  </si>
  <si>
    <t>3448362-9Z032201260055</t>
  </si>
  <si>
    <t>3449518-9Y742608260068</t>
  </si>
  <si>
    <t>MY0547099-9Y522708260056</t>
  </si>
  <si>
    <t>3449523-9Y512608260058</t>
  </si>
  <si>
    <t>3449518-9Y522608260003</t>
  </si>
  <si>
    <t>MY0547099-8X822608260109</t>
  </si>
  <si>
    <t>3449518-9Y742608260076</t>
  </si>
  <si>
    <t>3449523-9Y512608260069</t>
  </si>
  <si>
    <t>MY0547078-9A842508260023</t>
  </si>
  <si>
    <t>MY0547099-9Y512408260152</t>
  </si>
  <si>
    <t>3449523-8X822608260027</t>
  </si>
  <si>
    <t>3448356-8X822408260004</t>
  </si>
  <si>
    <t>3449523-8X822608260118</t>
  </si>
  <si>
    <t>3449523-8X822108260105</t>
  </si>
  <si>
    <t>MY0547099-8X822508260005</t>
  </si>
  <si>
    <t>3448362-9A843101260016</t>
  </si>
  <si>
    <t>MY0547099-9Y742608260046</t>
  </si>
  <si>
    <t>3449518-9Y522508260022</t>
  </si>
  <si>
    <t>MY0547099-8X822608260116</t>
  </si>
  <si>
    <t>MY0547099-9Y522508260010</t>
  </si>
  <si>
    <t>3449518-9Y742608260077</t>
  </si>
  <si>
    <t>MY0547099-9Y522508260011</t>
  </si>
  <si>
    <t>3449518-9Y742608260048</t>
  </si>
  <si>
    <t>3449523-9Y742608260097</t>
  </si>
  <si>
    <t>3449523-9Y742608260104</t>
  </si>
  <si>
    <t>3449518-9Y742608260065</t>
  </si>
  <si>
    <t>3449523-9Y512608260061</t>
  </si>
  <si>
    <t>3449518-9Y522608260008</t>
  </si>
  <si>
    <t>3449523-9Y512508260033</t>
  </si>
  <si>
    <t>MY0547099-9E382408260095</t>
  </si>
  <si>
    <t>MY0547099-9Y512508260096</t>
  </si>
  <si>
    <t>MY0547078-9Y522508260041</t>
  </si>
  <si>
    <t>3449518-9E382408260015</t>
  </si>
  <si>
    <t>3449518-9E382408260013</t>
  </si>
  <si>
    <t>3448356-8X822408260005</t>
  </si>
  <si>
    <t>3448356-9Y522508260017</t>
  </si>
  <si>
    <t>MY0547078-9Z032408260010</t>
  </si>
  <si>
    <t>3449523-9Y532408260017</t>
  </si>
  <si>
    <t>3449523-9Y532408260022</t>
  </si>
  <si>
    <t>MY0547099-9E382408260093</t>
  </si>
  <si>
    <t>3449523-9E382408260123</t>
  </si>
  <si>
    <t>3448362-9Y512508260001</t>
  </si>
  <si>
    <t>MY0547099-8X822608260114</t>
  </si>
  <si>
    <t>3448362-8X822708260004</t>
  </si>
  <si>
    <t>MY0547078-9Y522508260069</t>
  </si>
  <si>
    <t>MY0547099-9Y982508260074</t>
  </si>
  <si>
    <t>MY0547099-8X822608260113</t>
  </si>
  <si>
    <t>MY0547099-9Y742608260033</t>
  </si>
  <si>
    <t>3449523-9Y742608260087</t>
  </si>
  <si>
    <t>3449523-9Y981908260001</t>
  </si>
  <si>
    <t>3448362-9Y822201260064</t>
  </si>
  <si>
    <t>MY0547078-9Z222608260040</t>
  </si>
  <si>
    <t>3449518-9E382508260061</t>
  </si>
  <si>
    <t>MY0547078-9Y522608260069</t>
  </si>
  <si>
    <t>MY0547099-8X822508260002</t>
  </si>
  <si>
    <t>3448362-9Z032201260066</t>
  </si>
  <si>
    <t>3448362-9A843101260024</t>
  </si>
  <si>
    <t>3449523-9Y812608260024</t>
  </si>
  <si>
    <t>3449523-9Y742608260091</t>
  </si>
  <si>
    <t>3449523-9E382508260046</t>
  </si>
  <si>
    <t>3449523-9Y522608260012</t>
  </si>
  <si>
    <t>3449523-9Y812608260018</t>
  </si>
  <si>
    <t>3449518-9E382508260054</t>
  </si>
  <si>
    <t>3449523-9A842408260060</t>
  </si>
  <si>
    <t>3449523-8X822608260131</t>
  </si>
  <si>
    <t>3449523-9Y740109260010</t>
  </si>
  <si>
    <t>MY0547078-8X820109260015</t>
  </si>
  <si>
    <t>MY0547078-9Z033108260138</t>
  </si>
  <si>
    <t>3449518-9E383108260152</t>
  </si>
  <si>
    <t>3449518-9Z043108260161</t>
  </si>
  <si>
    <t>MY0547078-9Y523108260109</t>
  </si>
  <si>
    <t>3449518-9Y983108260125</t>
  </si>
  <si>
    <t>3449518-9Z033108260068</t>
  </si>
  <si>
    <t>3449518-9Y520109260011</t>
  </si>
  <si>
    <t>3449518-9Z040109260034</t>
  </si>
  <si>
    <t>3449518-9Z033108260071</t>
  </si>
  <si>
    <t>MY0547078-9Z043108260057</t>
  </si>
  <si>
    <t>MY0547078-9Z220109260049</t>
  </si>
  <si>
    <t>MY0547078-9Y743108260051</t>
  </si>
  <si>
    <t>3449518-9Y512808260061</t>
  </si>
  <si>
    <t>3449518-9Y513108260027</t>
  </si>
  <si>
    <t>MY0547078-9Z033108260143#</t>
  </si>
  <si>
    <t>MY0547078-9Y513108260011</t>
  </si>
  <si>
    <t>3448356-9Y981708260023</t>
  </si>
  <si>
    <t>MY0547078-9Y982608260096</t>
  </si>
  <si>
    <t>3449518-9Y512808260064</t>
  </si>
  <si>
    <t>3449518-9Y512808260062</t>
  </si>
  <si>
    <t>MY0547099-9Y532608260090</t>
  </si>
  <si>
    <t>3449523-9Y512808260091</t>
  </si>
  <si>
    <t>3449523-8X820109260167</t>
  </si>
  <si>
    <t>3449523-9Y980109260135</t>
  </si>
  <si>
    <t>MY0547099-9A840109260149</t>
  </si>
  <si>
    <t>MY0547099-9Y510109260137</t>
  </si>
  <si>
    <t>MY0547099-9A840109260138</t>
  </si>
  <si>
    <t>MY0547099-9Y510109260144</t>
  </si>
  <si>
    <t>MY0547078-9Y510109260042</t>
  </si>
  <si>
    <t>M3449523-9Z220109260114</t>
  </si>
  <si>
    <t>MY0547078-9E380109260148</t>
  </si>
  <si>
    <t>MY0547099-9Y520109260108</t>
  </si>
  <si>
    <t>MY0547099-9Z040109260103</t>
  </si>
  <si>
    <t>3449523-9Z030109260097</t>
  </si>
  <si>
    <t>3449523-9Y740109260007</t>
  </si>
  <si>
    <t>MY0547078-9Y520109260094</t>
  </si>
  <si>
    <t>MY0547078-9Y740109260111</t>
  </si>
  <si>
    <t>MY0547099-9E380209260015</t>
  </si>
  <si>
    <t>MY0547078-9E380109260115</t>
  </si>
  <si>
    <t>3449523-9Y532708260129</t>
  </si>
  <si>
    <t>3449523-9Z032708260121</t>
  </si>
  <si>
    <t>3448362-9Y522708260042</t>
  </si>
  <si>
    <t>MY0547078-9Z032608260168</t>
  </si>
  <si>
    <t>MY0547099-9Y522508260015</t>
  </si>
  <si>
    <t>MY0547099-8X822708260083</t>
  </si>
  <si>
    <t>MY0547078-9E382508260044</t>
  </si>
  <si>
    <t>3449518-8X822508260011</t>
  </si>
  <si>
    <t>3449518-9Y512708260141</t>
  </si>
  <si>
    <t>3449523-9E382808260034</t>
  </si>
  <si>
    <t>MY0547078-8X822508260015</t>
  </si>
  <si>
    <t>MY0547099-9Y512808260094</t>
  </si>
  <si>
    <t>3449523-9Y740209260096</t>
  </si>
  <si>
    <t>3449518-9E380309260032</t>
  </si>
  <si>
    <t>3449518-9Y980209260159</t>
  </si>
  <si>
    <t>3449518-9Y520209260126</t>
  </si>
  <si>
    <t>MY0547099-8X820209260117</t>
  </si>
  <si>
    <t>3449523-9Z030209260140</t>
  </si>
  <si>
    <t>MY0547078-9Z033108260031</t>
  </si>
  <si>
    <t>3449523-9Z030209260125</t>
  </si>
  <si>
    <t>3449518-9Y520309260042</t>
  </si>
  <si>
    <t>MY0547099-8X820209260102</t>
  </si>
  <si>
    <t>3449518-9Y520309260037</t>
  </si>
  <si>
    <t>MY0547099-9E380209260048</t>
  </si>
  <si>
    <t>3449523-9Z030209260141</t>
  </si>
  <si>
    <t>3449523-9Y510209260062</t>
  </si>
  <si>
    <t>MY0547099-9Y980209260094</t>
  </si>
  <si>
    <t>MY0547099-9Y980209260093</t>
  </si>
  <si>
    <t>MY0547099-9Y980209260083</t>
  </si>
  <si>
    <t>3449523-9Y740209260111</t>
  </si>
  <si>
    <t>MY0547099-9Y980209260091</t>
  </si>
  <si>
    <t>MY0547099-9Y980209260089</t>
  </si>
  <si>
    <t>MY0547078-9Z030209260051</t>
  </si>
  <si>
    <t>3449523-9Z030209260146</t>
  </si>
  <si>
    <t>MY0547078-9Z230209260072</t>
  </si>
  <si>
    <t>MY0547099-9Y980209260092</t>
  </si>
  <si>
    <t>MY0547078-9E380209260003</t>
  </si>
  <si>
    <t>MY0547078-9Y510109260057</t>
  </si>
  <si>
    <t>3448362-9Y522708260041</t>
  </si>
  <si>
    <t>MY0547099-9Y982408260024</t>
  </si>
  <si>
    <t>3449523-9E382808260028</t>
  </si>
  <si>
    <t>MY0547099-9E382708260027</t>
  </si>
  <si>
    <t>MY0547099-9E382608260099</t>
  </si>
  <si>
    <t>MY0547078-9Y982708260015</t>
  </si>
  <si>
    <t>MY0547099-9Y522708260052</t>
  </si>
  <si>
    <t>3449523-9Y512808260076</t>
  </si>
  <si>
    <t>MY0547078-9E382508260046</t>
  </si>
  <si>
    <t>MY0547099-9Y982508260071</t>
  </si>
  <si>
    <t>MY0547078-9E382708260063</t>
  </si>
  <si>
    <t>3449523-9Y512808260059</t>
  </si>
  <si>
    <t>MY0547078-9Y982708260051</t>
  </si>
  <si>
    <t>3449518-9Z042608260167</t>
  </si>
  <si>
    <t>MY0547099-9Y522608260127</t>
  </si>
  <si>
    <t>3449518-9E382808260049</t>
  </si>
  <si>
    <t>3449523-9Y513108260048</t>
  </si>
  <si>
    <t>3449518-9Z042608260165</t>
  </si>
  <si>
    <t>3449523-8X820409260017</t>
  </si>
  <si>
    <t>3448362-9Y510309260001</t>
  </si>
  <si>
    <t>3449518-9Z030309260105</t>
  </si>
  <si>
    <t>3449518-8X820309260158</t>
  </si>
  <si>
    <t>MY0547099-9Y510309260148</t>
  </si>
  <si>
    <t>3449523-8X820409260028</t>
  </si>
  <si>
    <t>MY0547099-9Y510309260168</t>
  </si>
  <si>
    <t>MY0547099-9Y740309260085</t>
  </si>
  <si>
    <t>3449518-9Z030309260128</t>
  </si>
  <si>
    <t>MY0547078-9Y510309260123</t>
  </si>
  <si>
    <t>M3448362-9Z220409260040</t>
  </si>
  <si>
    <t>MY0547099-9Y740309260055</t>
  </si>
  <si>
    <t>MY0547099-9Y510309260169</t>
  </si>
  <si>
    <t>3448362-9E380409260011</t>
  </si>
  <si>
    <t>3449523-9Y743108260130</t>
  </si>
  <si>
    <t>MY0547078-9Y523108260099</t>
  </si>
  <si>
    <t>3449523-9Y523008260002</t>
  </si>
  <si>
    <t>MY0547078-9Z033108260121</t>
  </si>
  <si>
    <t>MY0547099-9E383008260002</t>
  </si>
  <si>
    <t>MY0547078-9Z032808260036</t>
  </si>
  <si>
    <t>MY0547078-9Z043108260125</t>
  </si>
  <si>
    <t>3448362-8X823108260011</t>
  </si>
  <si>
    <t>MY0547099-9Y523008260018</t>
  </si>
  <si>
    <t>3449523-9Y512808260064</t>
  </si>
  <si>
    <t>MY0547099-9Y523008260022</t>
  </si>
  <si>
    <t>MY0547099-9E382808260069</t>
  </si>
  <si>
    <t>MY0547078-9Y520209260130</t>
  </si>
  <si>
    <t>3448362-8X823108260017</t>
  </si>
  <si>
    <t>MY0547078-9Z032808260028</t>
  </si>
  <si>
    <t>MY0547078-9Z032808260030</t>
  </si>
  <si>
    <t>MY0547078-8X820209260085</t>
  </si>
  <si>
    <t>MY0547078-9Z032808260032</t>
  </si>
  <si>
    <t>3449518-9Y743108260124</t>
  </si>
  <si>
    <t>3449523-9E383108260057</t>
  </si>
  <si>
    <t>MY0547078-8X820209260079</t>
  </si>
  <si>
    <t>MY0547099-9Y512808260087</t>
  </si>
  <si>
    <t>MY0547099-9E382808260052</t>
  </si>
  <si>
    <t>MY0547099-8X823108260059</t>
  </si>
  <si>
    <t>MY0547099-9Y522608260129</t>
  </si>
  <si>
    <t>3448362-9Y982508260012</t>
  </si>
  <si>
    <t>MY0547099-9Y523008260025</t>
  </si>
  <si>
    <t>MY0547099-8X820209260098</t>
  </si>
  <si>
    <t>3449523-9E382808260021</t>
  </si>
  <si>
    <t>MY0547099-8X820209260099</t>
  </si>
  <si>
    <t>3449523-9Y513108260012</t>
  </si>
  <si>
    <t>3449523-9Y532708260136</t>
  </si>
  <si>
    <t>MY0547099-9Z04260826014</t>
  </si>
  <si>
    <t>MY0547099-9Y512308260050</t>
  </si>
  <si>
    <t>3448362-8X823108260012</t>
  </si>
  <si>
    <t>MY0547099-9Y982408260059</t>
  </si>
  <si>
    <t>MY0547078-9Y512608260084</t>
  </si>
  <si>
    <t>MY0547099-8X822708260082</t>
  </si>
  <si>
    <t>MY0547099-9Z032508260152</t>
  </si>
  <si>
    <t>MY0547078-9Y513108260014</t>
  </si>
  <si>
    <t>MY0547078-9Y742608260014</t>
  </si>
  <si>
    <t>MY0547078-8X822508260006</t>
  </si>
  <si>
    <t>MY0547078-9Y742608260008</t>
  </si>
  <si>
    <t>3449523-9Z042508260129</t>
  </si>
  <si>
    <t>MY0547078-9Y982708260089</t>
  </si>
  <si>
    <t>MY0547099-9E382708260017</t>
  </si>
  <si>
    <t>3449518-9Y522508260044</t>
  </si>
  <si>
    <t>MY0547099-8X823108260064</t>
  </si>
  <si>
    <t>MY0547078-9Y522608260028</t>
  </si>
  <si>
    <t>MY0547099-8X822708260076</t>
  </si>
  <si>
    <t>3449523-9E382408260067</t>
  </si>
  <si>
    <t>MY0547099-9Y522608260123</t>
  </si>
  <si>
    <t>MY0547078-9Y522608260023</t>
  </si>
  <si>
    <t>3449523-9Z042508260125</t>
  </si>
  <si>
    <t>3449523-9E382508260173</t>
  </si>
  <si>
    <t>MY0547099-9Y522708260061</t>
  </si>
  <si>
    <t>MY0547099-9A842508260082</t>
  </si>
  <si>
    <t>MY0547078-8X820409260070</t>
  </si>
  <si>
    <t>MY0547078-8X820609260010</t>
  </si>
  <si>
    <t>3448358      S22609020425</t>
  </si>
  <si>
    <t>MY0547078-9Y740609260015</t>
  </si>
  <si>
    <t>3449518-9Y510409260052</t>
  </si>
  <si>
    <t>MY0547078-9Z040409260047</t>
  </si>
  <si>
    <t>MY0547099-9Y510409260059</t>
  </si>
  <si>
    <t>3449518-9Z030709260028</t>
  </si>
  <si>
    <t>MY0547078-8X820409260066</t>
  </si>
  <si>
    <t>MY0547099-9Y510409260057</t>
  </si>
  <si>
    <t>MY0547078-9Z040409260045</t>
  </si>
  <si>
    <t>MY0547078-8X820409260071</t>
  </si>
  <si>
    <t>MY0547078-9Y510409260036</t>
  </si>
  <si>
    <t>MY0547099-9Y980409260032</t>
  </si>
  <si>
    <t>MY0547078-9Y510409260033</t>
  </si>
  <si>
    <t>MY0547078-9Z230709260079</t>
  </si>
  <si>
    <t>3448356-9E380709260003</t>
  </si>
  <si>
    <t>MY0547078-9Y510409260031</t>
  </si>
  <si>
    <t>MY0547078-9Y740409260010</t>
  </si>
  <si>
    <t>MY0547078-9Z220409260002</t>
  </si>
  <si>
    <t>MY0547078-9Y510609260006</t>
  </si>
  <si>
    <t>MY0547078-9Y520709260018</t>
  </si>
  <si>
    <t>MY0547078-9E380409260022</t>
  </si>
  <si>
    <t>3449518-9Z030709260029</t>
  </si>
  <si>
    <t>MY0547078-8X820609260026</t>
  </si>
  <si>
    <t>3449518-9Y743108260055</t>
  </si>
  <si>
    <t>M3448362-9Z233108260050</t>
  </si>
  <si>
    <t>M3448362-9Z233108260049</t>
  </si>
  <si>
    <t>3449523-9Y982608260149</t>
  </si>
  <si>
    <t>MY0547099-8X820109260001</t>
  </si>
  <si>
    <t>3449523-9Y982608260153</t>
  </si>
  <si>
    <t>3449518-8X822008260052</t>
  </si>
  <si>
    <t>3449523-9A840109260132</t>
  </si>
  <si>
    <t>3449518-8X822008260056</t>
  </si>
  <si>
    <t>3449523-9A840109260136</t>
  </si>
  <si>
    <t>MY0547078-8X820109260004</t>
  </si>
  <si>
    <t>MY0547078-9E380109260134</t>
  </si>
  <si>
    <t>MY0547099-9Y743108260034</t>
  </si>
  <si>
    <t>3449518-8X822608260145</t>
  </si>
  <si>
    <t>3449518-8X822008260054</t>
  </si>
  <si>
    <t>3449518-8X822008260053</t>
  </si>
  <si>
    <t>3448362-9Y523108260031</t>
  </si>
  <si>
    <t>MY0547099-9E382708260024</t>
  </si>
  <si>
    <t>3448362-9E383108260008</t>
  </si>
  <si>
    <t>3449518-9Z030109260111</t>
  </si>
  <si>
    <t>3449518-9Y983108260151</t>
  </si>
  <si>
    <t>MY0547099-9Y520109260111</t>
  </si>
  <si>
    <t>3449518-9Y983108260146</t>
  </si>
  <si>
    <t>3449523-9E383108260077</t>
  </si>
  <si>
    <t>MY0547099-9Z040109260107</t>
  </si>
  <si>
    <t>3449523-9A840109260143</t>
  </si>
  <si>
    <t>MY0547099-9Z042708260099</t>
  </si>
  <si>
    <t>MY0547099-9Z220109260027</t>
  </si>
  <si>
    <t>MY0547099-9Z030109260066</t>
  </si>
  <si>
    <t>3449523-9E383108260073</t>
  </si>
  <si>
    <t>MY0547099-9Z220109260032</t>
  </si>
  <si>
    <t>MY0547078-9A843108260093</t>
  </si>
  <si>
    <t>MY0547099-9Y743108260015</t>
  </si>
  <si>
    <t>3449523-9Y513108260018</t>
  </si>
  <si>
    <t>3449518-9Y513108260030</t>
  </si>
  <si>
    <t>3449523-9Y980109260058</t>
  </si>
  <si>
    <t>M3449518-9Z233108260126</t>
  </si>
  <si>
    <t>MY0547078-9Z033108260142</t>
  </si>
  <si>
    <t>3448356-9Y523108260004</t>
  </si>
  <si>
    <t>MY0547078-9Y743108260040</t>
  </si>
  <si>
    <t>M3448362-9Z233108260055</t>
  </si>
  <si>
    <t>3449523-9A840109260134</t>
  </si>
  <si>
    <t>MY0547078-9Y522808260014</t>
  </si>
  <si>
    <t>3449523-9Z030109260071</t>
  </si>
  <si>
    <t>3449523-9Y510109260177</t>
  </si>
  <si>
    <t>3449518-9Y510209260049</t>
  </si>
  <si>
    <t>3449523-8X820109260157</t>
  </si>
  <si>
    <t>3449523-9Y510209260004</t>
  </si>
  <si>
    <t>MY0547099-9Y520109260121</t>
  </si>
  <si>
    <t>MY0547099-8X820109260062</t>
  </si>
  <si>
    <t>MY0547099-9Y520109260123</t>
  </si>
  <si>
    <t>MY0547099-9Y513008260023</t>
  </si>
  <si>
    <t>MY0547099-9Y520109260117</t>
  </si>
  <si>
    <t>MY0547099-8X823108260076</t>
  </si>
  <si>
    <t>MY0547099-9Y520109260119</t>
  </si>
  <si>
    <t>MY0547099-9Y520109260130</t>
  </si>
  <si>
    <t>MY0547099-9Z043108260011</t>
  </si>
  <si>
    <t>MY0547078-9Z032808260046</t>
  </si>
  <si>
    <t>MY0547099-9E382708260012</t>
  </si>
  <si>
    <t>MY0547099-9Z043108260006</t>
  </si>
  <si>
    <t>MY0547099-9E382808260044</t>
  </si>
  <si>
    <t>MY0547078-9Z031808260043</t>
  </si>
  <si>
    <t>MY0547078-9E382508260031</t>
  </si>
  <si>
    <t>MY0547099-9Z040109260091</t>
  </si>
  <si>
    <t>MY0547099-9Y743108260038</t>
  </si>
  <si>
    <t>MY0547099-9Z040109260089</t>
  </si>
  <si>
    <t>MY0547099-9Z040109260086</t>
  </si>
  <si>
    <t>3449523-9Y512608260048</t>
  </si>
  <si>
    <t>MY0547099-9Z040109260079</t>
  </si>
  <si>
    <t>MY0547099-9Z040109260085</t>
  </si>
  <si>
    <t>3449523-8X820109260145</t>
  </si>
  <si>
    <t>3449523-9Z030109260084</t>
  </si>
  <si>
    <t>3449523-8X822608260110</t>
  </si>
  <si>
    <t>3449523-8X820109260160</t>
  </si>
  <si>
    <t>3449523-9Z030109260079</t>
  </si>
  <si>
    <t>3449523-9Z030109260065</t>
  </si>
  <si>
    <t>MY0547078-9Y510109260079</t>
  </si>
  <si>
    <t>MY0547078-9Y520109260085</t>
  </si>
  <si>
    <t>MY0547099-9Z030109260049</t>
  </si>
  <si>
    <t>3449523-9Y980109260054</t>
  </si>
  <si>
    <t>M3449518-9Z220109260066</t>
  </si>
  <si>
    <t>3449523-9E383108260087</t>
  </si>
  <si>
    <t>3449523-9Y523008260005</t>
  </si>
  <si>
    <t>MY0547099-9A840109260012</t>
  </si>
  <si>
    <t>3449523-9Y980109260053</t>
  </si>
  <si>
    <t>MY0547099-9Z230109260045</t>
  </si>
  <si>
    <t>MY0547099-9Z220109260033</t>
  </si>
  <si>
    <t>3449523-9Y810109260023</t>
  </si>
  <si>
    <t>3449518-9Y743108260047</t>
  </si>
  <si>
    <t>3449523-9Y980109260051</t>
  </si>
  <si>
    <t>MY0547099-9Z030109260052</t>
  </si>
  <si>
    <t>3448362-9Y983108260047</t>
  </si>
  <si>
    <t>3449523-9Y743108260140</t>
  </si>
  <si>
    <t>3449523-9Y810109260024</t>
  </si>
  <si>
    <t>3449523-9Y740109260003</t>
  </si>
  <si>
    <t>MY0547078-9Y510109260040</t>
  </si>
  <si>
    <t>MY0547099-9A840109260007</t>
  </si>
  <si>
    <t>3449518-9Z033108260183</t>
  </si>
  <si>
    <t>3448362-9Y983108260048</t>
  </si>
  <si>
    <t>MY0547078-9Y510109260044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</si>
</sst>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\.m\.yyyy"/>
    <numFmt numFmtId="166" formatCode="m/d/yyyy"/>
    <numFmt numFmtId="167" formatCode="0.0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AAAAAA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8"/>
      <color rgb="FFAAAAAA"/>
      <name val="Arial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238"/>
    </font>
    <font>
      <b/>
      <sz val="11"/>
      <color rgb="FF1F3864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sz val="8"/>
      <color rgb="FFAAAAAA"/>
      <name val="Arial"/>
      <family val="2"/>
    </font>
    <font>
      <b/>
      <sz val="9"/>
      <name val="Arial"/>
      <family val="2"/>
      <charset val="1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theme="9" tint="-0.249977111117893"/>
        <bgColor rgb="FFED7D31"/>
      </patternFill>
    </fill>
    <fill>
      <patternFill patternType="solid">
        <fgColor rgb="FF2E75B6"/>
        <bgColor rgb="FF0066CC"/>
      </patternFill>
    </fill>
    <fill>
      <patternFill patternType="solid">
        <fgColor theme="9" tint="0.39988402966399123"/>
        <bgColor rgb="FFD9D9D9"/>
      </patternFill>
    </fill>
    <fill>
      <patternFill patternType="solid">
        <fgColor rgb="FFF2F8FF"/>
        <bgColor rgb="FFF0F7EC"/>
      </patternFill>
    </fill>
    <fill>
      <patternFill patternType="solid">
        <fgColor rgb="FFFFFFFF"/>
        <bgColor rgb="FFF2F8FF"/>
      </patternFill>
    </fill>
    <fill>
      <patternFill patternType="solid">
        <fgColor rgb="FFFFF2CC"/>
        <bgColor rgb="FFF0F7EC"/>
      </patternFill>
    </fill>
    <fill>
      <patternFill patternType="solid">
        <fgColor rgb="FFE2EFDA"/>
        <bgColor rgb="FFF0F7EC"/>
      </patternFill>
    </fill>
    <fill>
      <patternFill patternType="solid">
        <fgColor rgb="FFF0F7EC"/>
        <bgColor rgb="FFF2F8FF"/>
      </patternFill>
    </fill>
    <fill>
      <patternFill patternType="solid">
        <fgColor rgb="FFFFFF00"/>
        <bgColor rgb="FFF0F7EC"/>
      </patternFill>
    </fill>
    <fill>
      <patternFill patternType="solid">
        <fgColor rgb="FFFFFF00"/>
        <bgColor rgb="FFF2F8FF"/>
      </patternFill>
    </fill>
    <fill>
      <patternFill patternType="solid">
        <fgColor theme="0"/>
        <bgColor rgb="FFF0F7EC"/>
      </patternFill>
    </fill>
    <fill>
      <patternFill patternType="solid">
        <fgColor theme="0"/>
        <bgColor rgb="FFF2F8FF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80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medium">
        <color auto="1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medium">
        <color theme="1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medium">
        <color auto="1"/>
      </left>
      <right style="thin">
        <color rgb="FFB8CCE4"/>
      </right>
      <top style="medium">
        <color auto="1"/>
      </top>
      <bottom style="thin">
        <color rgb="FFB8CCE4"/>
      </bottom>
      <diagonal/>
    </border>
    <border>
      <left style="thin">
        <color rgb="FFB8CCE4"/>
      </left>
      <right style="medium">
        <color auto="1"/>
      </right>
      <top style="medium">
        <color auto="1"/>
      </top>
      <bottom style="thin">
        <color rgb="FFB8CCE4"/>
      </bottom>
      <diagonal/>
    </border>
    <border>
      <left style="medium">
        <color auto="1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medium">
        <color auto="1"/>
      </right>
      <top style="thin">
        <color rgb="FFB8CCE4"/>
      </top>
      <bottom style="thin">
        <color rgb="FFB8CCE4"/>
      </bottom>
      <diagonal/>
    </border>
    <border>
      <left style="medium">
        <color auto="1"/>
      </left>
      <right style="thin">
        <color rgb="FFB8CCE4"/>
      </right>
      <top style="thin">
        <color rgb="FFB8CCE4"/>
      </top>
      <bottom style="medium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auto="1"/>
      </bottom>
      <diagonal/>
    </border>
    <border>
      <left style="thin">
        <color rgb="FFB8CCE4"/>
      </left>
      <right style="medium">
        <color auto="1"/>
      </right>
      <top style="thin">
        <color rgb="FFB8CCE4"/>
      </top>
      <bottom style="medium">
        <color auto="1"/>
      </bottom>
      <diagonal/>
    </border>
    <border>
      <left style="thin">
        <color rgb="FFB8CCE4"/>
      </left>
      <right style="thin">
        <color rgb="FFB8CCE4"/>
      </right>
      <top style="thick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ck">
        <color rgb="FFB8CCE4"/>
      </top>
      <bottom/>
      <diagonal/>
    </border>
    <border>
      <left/>
      <right/>
      <top style="medium">
        <color theme="1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medium">
        <color auto="1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medium">
        <color auto="1"/>
      </right>
      <top/>
      <bottom style="thin">
        <color rgb="FFB8CCE4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rgb="FFB8CCE4"/>
      </left>
      <right style="thin">
        <color rgb="FFB8CCE4"/>
      </right>
      <top style="medium">
        <color indexed="64"/>
      </top>
      <bottom style="thin">
        <color rgb="FFB8CCE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8CCE4"/>
      </left>
      <right style="thin">
        <color rgb="FFB8CCE4"/>
      </right>
      <top style="thick">
        <color theme="1"/>
      </top>
      <bottom style="thin">
        <color rgb="FFB8CCE4"/>
      </bottom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B8CCE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medium">
        <color auto="1"/>
      </right>
      <top style="thin">
        <color rgb="FFB8CCE4"/>
      </top>
      <bottom/>
      <diagonal/>
    </border>
    <border>
      <left/>
      <right/>
      <top style="thin">
        <color rgb="FFB8CCE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B8CCE4"/>
      </left>
      <right style="thin">
        <color rgb="FFB8CCE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8CCE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thin">
        <color rgb="FFB8CCE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rgb="FFB8CCE4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B8CCE4"/>
      </right>
      <top style="thin">
        <color rgb="FFB8CCE4"/>
      </top>
      <bottom style="medium">
        <color theme="1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 applyProtection="1"/>
    <xf numFmtId="0" fontId="3" fillId="3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/>
    </xf>
    <xf numFmtId="0" fontId="6" fillId="5" borderId="1" xfId="0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/>
    <xf numFmtId="0" fontId="4" fillId="5" borderId="1" xfId="0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165" fontId="0" fillId="3" borderId="1" xfId="0" applyNumberFormat="1" applyFill="1" applyBorder="1" applyAlignment="1" applyProtection="1">
      <alignment horizontal="center" vertical="center"/>
    </xf>
    <xf numFmtId="0" fontId="7" fillId="7" borderId="1" xfId="0" applyFont="1" applyFill="1" applyBorder="1" applyAlignment="1" applyProtection="1">
      <alignment horizontal="center" vertical="center" wrapText="1"/>
    </xf>
    <xf numFmtId="0" fontId="0" fillId="0" borderId="3" xfId="0" applyFont="1" applyBorder="1" applyAlignment="1" applyProtection="1"/>
    <xf numFmtId="0" fontId="8" fillId="0" borderId="0" xfId="0" applyFont="1" applyAlignment="1" applyProtection="1">
      <alignment horizontal="center"/>
    </xf>
    <xf numFmtId="0" fontId="7" fillId="8" borderId="1" xfId="0" applyFont="1" applyFill="1" applyBorder="1" applyAlignment="1" applyProtection="1">
      <alignment horizontal="center" vertical="center" wrapText="1"/>
    </xf>
    <xf numFmtId="165" fontId="0" fillId="3" borderId="4" xfId="0" applyNumberFormat="1" applyFill="1" applyBorder="1" applyAlignment="1" applyProtection="1">
      <alignment horizontal="center" vertical="center"/>
    </xf>
    <xf numFmtId="0" fontId="7" fillId="7" borderId="4" xfId="0" applyFont="1" applyFill="1" applyBorder="1" applyAlignment="1" applyProtection="1">
      <alignment horizontal="center" vertical="center" wrapText="1"/>
    </xf>
    <xf numFmtId="165" fontId="0" fillId="3" borderId="5" xfId="0" applyNumberFormat="1" applyFill="1" applyBorder="1" applyAlignment="1" applyProtection="1">
      <alignment horizontal="center" vertical="center"/>
    </xf>
    <xf numFmtId="0" fontId="7" fillId="7" borderId="5" xfId="0" applyFont="1" applyFill="1" applyBorder="1" applyAlignment="1" applyProtection="1">
      <alignment horizontal="center" vertical="center" wrapText="1"/>
    </xf>
    <xf numFmtId="0" fontId="7" fillId="8" borderId="5" xfId="0" applyFont="1" applyFill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/>
    </xf>
    <xf numFmtId="0" fontId="8" fillId="0" borderId="6" xfId="0" applyFont="1" applyBorder="1" applyAlignment="1" applyProtection="1">
      <alignment horizontal="center"/>
    </xf>
    <xf numFmtId="0" fontId="0" fillId="0" borderId="6" xfId="0" applyBorder="1" applyAlignment="1" applyProtection="1"/>
    <xf numFmtId="165" fontId="0" fillId="3" borderId="7" xfId="0" applyNumberFormat="1" applyFill="1" applyBorder="1" applyAlignment="1" applyProtection="1">
      <alignment horizontal="center" vertical="center"/>
    </xf>
    <xf numFmtId="0" fontId="7" fillId="7" borderId="7" xfId="0" applyFont="1" applyFill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center"/>
    </xf>
    <xf numFmtId="0" fontId="0" fillId="0" borderId="8" xfId="0" applyBorder="1" applyAlignment="1" applyProtection="1"/>
    <xf numFmtId="165" fontId="0" fillId="3" borderId="9" xfId="0" applyNumberFormat="1" applyFill="1" applyBorder="1" applyAlignment="1" applyProtection="1">
      <alignment horizontal="center" vertical="center"/>
    </xf>
    <xf numFmtId="0" fontId="7" fillId="8" borderId="9" xfId="0" applyFont="1" applyFill="1" applyBorder="1" applyAlignment="1" applyProtection="1">
      <alignment horizontal="center" vertical="center" wrapText="1"/>
    </xf>
    <xf numFmtId="165" fontId="0" fillId="3" borderId="10" xfId="0" applyNumberFormat="1" applyFill="1" applyBorder="1" applyAlignment="1" applyProtection="1">
      <alignment horizontal="center" vertical="center"/>
    </xf>
    <xf numFmtId="165" fontId="0" fillId="3" borderId="12" xfId="0" applyNumberFormat="1" applyFill="1" applyBorder="1" applyAlignment="1" applyProtection="1">
      <alignment horizontal="center" vertical="center"/>
    </xf>
    <xf numFmtId="0" fontId="7" fillId="7" borderId="13" xfId="0" applyFont="1" applyFill="1" applyBorder="1" applyAlignment="1" applyProtection="1">
      <alignment horizontal="center" vertical="center" wrapText="1"/>
    </xf>
    <xf numFmtId="0" fontId="7" fillId="8" borderId="13" xfId="0" applyFont="1" applyFill="1" applyBorder="1" applyAlignment="1" applyProtection="1">
      <alignment horizontal="center" vertical="center" wrapText="1"/>
    </xf>
    <xf numFmtId="165" fontId="0" fillId="3" borderId="14" xfId="0" applyNumberFormat="1" applyFill="1" applyBorder="1" applyAlignment="1" applyProtection="1">
      <alignment horizontal="center" vertical="center"/>
    </xf>
    <xf numFmtId="0" fontId="7" fillId="8" borderId="15" xfId="0" applyFont="1" applyFill="1" applyBorder="1" applyAlignment="1" applyProtection="1">
      <alignment horizontal="center" vertical="center" wrapText="1"/>
    </xf>
    <xf numFmtId="0" fontId="7" fillId="8" borderId="16" xfId="0" applyFont="1" applyFill="1" applyBorder="1" applyAlignment="1" applyProtection="1">
      <alignment horizontal="center" vertical="center" wrapText="1"/>
    </xf>
    <xf numFmtId="0" fontId="7" fillId="7" borderId="9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164" fontId="0" fillId="3" borderId="0" xfId="0" applyNumberFormat="1" applyFill="1" applyAlignment="1" applyProtection="1">
      <alignment horizontal="left" vertical="center"/>
    </xf>
    <xf numFmtId="165" fontId="0" fillId="3" borderId="17" xfId="0" applyNumberFormat="1" applyFill="1" applyBorder="1" applyAlignment="1" applyProtection="1">
      <alignment horizontal="center" vertical="center"/>
    </xf>
    <xf numFmtId="165" fontId="0" fillId="3" borderId="18" xfId="0" applyNumberFormat="1" applyFill="1" applyBorder="1" applyAlignment="1" applyProtection="1">
      <alignment horizontal="center" vertical="center"/>
    </xf>
    <xf numFmtId="0" fontId="7" fillId="8" borderId="4" xfId="0" applyFont="1" applyFill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center"/>
    </xf>
    <xf numFmtId="0" fontId="0" fillId="0" borderId="19" xfId="0" applyBorder="1" applyAlignment="1" applyProtection="1"/>
    <xf numFmtId="165" fontId="0" fillId="3" borderId="20" xfId="0" applyNumberFormat="1" applyFill="1" applyBorder="1" applyAlignment="1" applyProtection="1">
      <alignment horizontal="center" vertical="center"/>
    </xf>
    <xf numFmtId="0" fontId="7" fillId="8" borderId="20" xfId="0" applyFont="1" applyFill="1" applyBorder="1" applyAlignment="1" applyProtection="1">
      <alignment horizontal="center" vertical="center" wrapText="1"/>
    </xf>
    <xf numFmtId="0" fontId="7" fillId="7" borderId="11" xfId="0" applyFont="1" applyFill="1" applyBorder="1" applyAlignment="1" applyProtection="1">
      <alignment horizontal="center" vertical="center" wrapText="1"/>
    </xf>
    <xf numFmtId="165" fontId="0" fillId="3" borderId="21" xfId="0" applyNumberFormat="1" applyFill="1" applyBorder="1" applyAlignment="1" applyProtection="1">
      <alignment horizontal="center" vertical="center"/>
    </xf>
    <xf numFmtId="0" fontId="7" fillId="8" borderId="22" xfId="0" applyFont="1" applyFill="1" applyBorder="1" applyAlignment="1" applyProtection="1">
      <alignment horizontal="center" vertical="center" wrapText="1"/>
    </xf>
    <xf numFmtId="0" fontId="7" fillId="7" borderId="15" xfId="0" applyFont="1" applyFill="1" applyBorder="1" applyAlignment="1" applyProtection="1">
      <alignment horizontal="center" vertical="center" wrapText="1"/>
    </xf>
    <xf numFmtId="0" fontId="7" fillId="7" borderId="16" xfId="0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/>
    <xf numFmtId="0" fontId="10" fillId="0" borderId="0" xfId="0" applyFont="1" applyAlignment="1" applyProtection="1"/>
    <xf numFmtId="166" fontId="10" fillId="0" borderId="0" xfId="0" applyNumberFormat="1" applyFont="1" applyAlignment="1" applyProtection="1"/>
    <xf numFmtId="0" fontId="10" fillId="0" borderId="23" xfId="0" applyFont="1" applyBorder="1" applyAlignment="1" applyProtection="1"/>
    <xf numFmtId="166" fontId="10" fillId="0" borderId="24" xfId="0" applyNumberFormat="1" applyFont="1" applyBorder="1" applyAlignment="1" applyProtection="1"/>
    <xf numFmtId="0" fontId="10" fillId="0" borderId="24" xfId="0" applyFont="1" applyBorder="1" applyAlignment="1" applyProtection="1"/>
    <xf numFmtId="0" fontId="10" fillId="0" borderId="25" xfId="0" applyFont="1" applyBorder="1" applyAlignment="1" applyProtection="1"/>
    <xf numFmtId="0" fontId="10" fillId="0" borderId="26" xfId="0" applyFont="1" applyBorder="1" applyAlignment="1" applyProtection="1"/>
    <xf numFmtId="0" fontId="10" fillId="0" borderId="27" xfId="0" applyFont="1" applyBorder="1" applyAlignment="1" applyProtection="1"/>
    <xf numFmtId="166" fontId="10" fillId="0" borderId="3" xfId="0" applyNumberFormat="1" applyFont="1" applyBorder="1" applyAlignment="1" applyProtection="1"/>
    <xf numFmtId="0" fontId="10" fillId="0" borderId="3" xfId="0" applyFont="1" applyBorder="1" applyAlignment="1" applyProtection="1"/>
    <xf numFmtId="0" fontId="10" fillId="0" borderId="28" xfId="0" applyFont="1" applyBorder="1" applyAlignment="1" applyProtection="1"/>
    <xf numFmtId="0" fontId="10" fillId="0" borderId="8" xfId="0" applyFont="1" applyBorder="1" applyAlignment="1" applyProtection="1"/>
    <xf numFmtId="166" fontId="10" fillId="0" borderId="8" xfId="0" applyNumberFormat="1" applyFont="1" applyBorder="1" applyAlignment="1" applyProtection="1"/>
    <xf numFmtId="0" fontId="10" fillId="0" borderId="29" xfId="0" applyFont="1" applyBorder="1" applyAlignment="1" applyProtection="1"/>
    <xf numFmtId="0" fontId="10" fillId="0" borderId="30" xfId="0" applyFont="1" applyBorder="1" applyAlignment="1" applyProtection="1"/>
    <xf numFmtId="166" fontId="10" fillId="0" borderId="30" xfId="0" applyNumberFormat="1" applyFont="1" applyBorder="1" applyAlignment="1" applyProtection="1"/>
    <xf numFmtId="0" fontId="10" fillId="0" borderId="0" xfId="0" applyFont="1" applyAlignment="1" applyProtection="1">
      <alignment wrapText="1"/>
    </xf>
    <xf numFmtId="166" fontId="10" fillId="0" borderId="31" xfId="0" applyNumberFormat="1" applyFont="1" applyBorder="1" applyAlignment="1" applyProtection="1"/>
    <xf numFmtId="0" fontId="10" fillId="0" borderId="31" xfId="0" applyFont="1" applyBorder="1" applyAlignment="1" applyProtection="1"/>
    <xf numFmtId="166" fontId="10" fillId="0" borderId="32" xfId="0" applyNumberFormat="1" applyFont="1" applyBorder="1" applyAlignment="1" applyProtection="1"/>
    <xf numFmtId="0" fontId="10" fillId="0" borderId="32" xfId="0" applyFont="1" applyBorder="1" applyAlignment="1" applyProtection="1"/>
    <xf numFmtId="166" fontId="10" fillId="0" borderId="33" xfId="0" applyNumberFormat="1" applyFont="1" applyBorder="1" applyAlignment="1" applyProtection="1"/>
    <xf numFmtId="0" fontId="10" fillId="0" borderId="33" xfId="0" applyFont="1" applyBorder="1" applyAlignment="1" applyProtection="1"/>
    <xf numFmtId="166" fontId="10" fillId="0" borderId="34" xfId="0" applyNumberFormat="1" applyFont="1" applyBorder="1" applyAlignment="1" applyProtection="1"/>
    <xf numFmtId="0" fontId="10" fillId="0" borderId="34" xfId="0" applyFont="1" applyBorder="1" applyAlignment="1" applyProtection="1"/>
    <xf numFmtId="166" fontId="0" fillId="0" borderId="33" xfId="0" applyNumberFormat="1" applyBorder="1" applyAlignment="1" applyProtection="1"/>
    <xf numFmtId="0" fontId="0" fillId="0" borderId="33" xfId="0" applyBorder="1" applyAlignment="1" applyProtection="1"/>
    <xf numFmtId="166" fontId="0" fillId="0" borderId="31" xfId="0" applyNumberFormat="1" applyBorder="1" applyAlignment="1" applyProtection="1"/>
    <xf numFmtId="0" fontId="0" fillId="0" borderId="31" xfId="0" applyBorder="1" applyAlignment="1" applyProtection="1"/>
    <xf numFmtId="166" fontId="0" fillId="0" borderId="32" xfId="0" applyNumberFormat="1" applyBorder="1" applyAlignment="1" applyProtection="1"/>
    <xf numFmtId="0" fontId="0" fillId="0" borderId="32" xfId="0" applyBorder="1" applyAlignment="1" applyProtection="1"/>
    <xf numFmtId="0" fontId="12" fillId="0" borderId="0" xfId="0" applyFont="1" applyAlignment="1" applyProtection="1">
      <alignment horizontal="left" vertical="center"/>
    </xf>
    <xf numFmtId="0" fontId="2" fillId="8" borderId="0" xfId="0" applyFont="1" applyFill="1" applyAlignment="1" applyProtection="1">
      <alignment horizontal="center" vertical="center"/>
    </xf>
    <xf numFmtId="0" fontId="0" fillId="8" borderId="0" xfId="0" applyFill="1" applyAlignment="1" applyProtection="1"/>
    <xf numFmtId="0" fontId="6" fillId="2" borderId="1" xfId="0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/>
    <xf numFmtId="167" fontId="7" fillId="7" borderId="1" xfId="0" applyNumberFormat="1" applyFont="1" applyFill="1" applyBorder="1" applyAlignment="1" applyProtection="1">
      <alignment horizontal="center" vertical="center" wrapText="1"/>
    </xf>
    <xf numFmtId="0" fontId="14" fillId="10" borderId="1" xfId="0" applyFont="1" applyFill="1" applyBorder="1" applyAlignment="1" applyProtection="1">
      <alignment horizontal="center" vertical="center" wrapText="1"/>
    </xf>
    <xf numFmtId="167" fontId="14" fillId="1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 applyProtection="1"/>
    <xf numFmtId="167" fontId="7" fillId="8" borderId="1" xfId="0" applyNumberFormat="1" applyFont="1" applyFill="1" applyBorder="1" applyAlignment="1" applyProtection="1">
      <alignment horizontal="center" vertical="center" wrapText="1"/>
    </xf>
    <xf numFmtId="0" fontId="14" fillId="11" borderId="1" xfId="0" applyFont="1" applyFill="1" applyBorder="1" applyAlignment="1" applyProtection="1">
      <alignment horizontal="center" vertical="center" wrapText="1"/>
    </xf>
    <xf numFmtId="167" fontId="14" fillId="11" borderId="1" xfId="0" applyNumberFormat="1" applyFont="1" applyFill="1" applyBorder="1" applyAlignment="1" applyProtection="1">
      <alignment horizontal="center" vertical="center" wrapText="1"/>
    </xf>
    <xf numFmtId="0" fontId="7" fillId="7" borderId="1" xfId="0" applyFont="1" applyFill="1" applyBorder="1" applyAlignment="1" applyProtection="1">
      <alignment horizontal="center" vertical="center"/>
    </xf>
    <xf numFmtId="167" fontId="7" fillId="7" borderId="1" xfId="0" applyNumberFormat="1" applyFont="1" applyFill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/>
    </xf>
    <xf numFmtId="167" fontId="7" fillId="8" borderId="1" xfId="0" applyNumberFormat="1" applyFont="1" applyFill="1" applyBorder="1" applyAlignment="1" applyProtection="1">
      <alignment horizontal="center" vertical="center"/>
    </xf>
    <xf numFmtId="0" fontId="16" fillId="5" borderId="1" xfId="0" applyFont="1" applyFill="1" applyBorder="1" applyAlignment="1" applyProtection="1">
      <alignment horizontal="center" vertical="center"/>
    </xf>
    <xf numFmtId="165" fontId="0" fillId="3" borderId="36" xfId="0" applyNumberFormat="1" applyFill="1" applyBorder="1" applyAlignment="1" applyProtection="1">
      <alignment horizontal="center" vertical="center"/>
    </xf>
    <xf numFmtId="0" fontId="7" fillId="7" borderId="36" xfId="0" applyFont="1" applyFill="1" applyBorder="1" applyAlignment="1" applyProtection="1">
      <alignment horizontal="center" vertical="center" wrapText="1"/>
    </xf>
    <xf numFmtId="0" fontId="0" fillId="0" borderId="8" xfId="0" applyBorder="1"/>
    <xf numFmtId="0" fontId="8" fillId="0" borderId="37" xfId="0" applyFont="1" applyBorder="1" applyAlignment="1" applyProtection="1">
      <alignment horizontal="center"/>
    </xf>
    <xf numFmtId="0" fontId="0" fillId="0" borderId="37" xfId="0" applyBorder="1"/>
    <xf numFmtId="0" fontId="7" fillId="8" borderId="38" xfId="0" applyFont="1" applyFill="1" applyBorder="1" applyAlignment="1" applyProtection="1">
      <alignment horizontal="center" vertical="center" wrapText="1"/>
    </xf>
    <xf numFmtId="0" fontId="0" fillId="0" borderId="31" xfId="0" applyFill="1" applyBorder="1" applyAlignment="1" applyProtection="1"/>
    <xf numFmtId="14" fontId="0" fillId="0" borderId="39" xfId="0" applyNumberFormat="1" applyBorder="1" applyAlignment="1" applyProtection="1"/>
    <xf numFmtId="0" fontId="0" fillId="0" borderId="40" xfId="0" applyBorder="1" applyAlignment="1" applyProtection="1"/>
    <xf numFmtId="14" fontId="0" fillId="0" borderId="41" xfId="0" applyNumberFormat="1" applyBorder="1" applyAlignment="1" applyProtection="1"/>
    <xf numFmtId="0" fontId="0" fillId="0" borderId="42" xfId="0" applyBorder="1" applyAlignment="1" applyProtection="1"/>
    <xf numFmtId="14" fontId="0" fillId="0" borderId="43" xfId="0" applyNumberFormat="1" applyBorder="1" applyAlignment="1" applyProtection="1"/>
    <xf numFmtId="0" fontId="0" fillId="0" borderId="44" xfId="0" applyFill="1" applyBorder="1" applyAlignment="1" applyProtection="1"/>
    <xf numFmtId="0" fontId="0" fillId="0" borderId="44" xfId="0" applyBorder="1" applyAlignment="1" applyProtection="1"/>
    <xf numFmtId="0" fontId="0" fillId="0" borderId="45" xfId="0" applyBorder="1" applyAlignment="1" applyProtection="1"/>
    <xf numFmtId="0" fontId="7" fillId="12" borderId="1" xfId="0" applyFont="1" applyFill="1" applyBorder="1" applyAlignment="1" applyProtection="1">
      <alignment horizontal="center" vertical="center" wrapText="1"/>
    </xf>
    <xf numFmtId="0" fontId="7" fillId="13" borderId="1" xfId="0" applyFont="1" applyFill="1" applyBorder="1" applyAlignment="1" applyProtection="1">
      <alignment horizontal="center" vertical="center" wrapText="1"/>
    </xf>
    <xf numFmtId="0" fontId="7" fillId="12" borderId="4" xfId="0" applyFont="1" applyFill="1" applyBorder="1" applyAlignment="1" applyProtection="1">
      <alignment horizontal="center" vertical="center" wrapText="1"/>
    </xf>
    <xf numFmtId="0" fontId="7" fillId="13" borderId="5" xfId="0" applyFont="1" applyFill="1" applyBorder="1" applyAlignment="1" applyProtection="1">
      <alignment horizontal="center" vertical="center" wrapText="1"/>
    </xf>
    <xf numFmtId="0" fontId="7" fillId="12" borderId="7" xfId="0" applyFont="1" applyFill="1" applyBorder="1" applyAlignment="1" applyProtection="1">
      <alignment horizontal="center" vertical="center" wrapText="1"/>
    </xf>
    <xf numFmtId="0" fontId="7" fillId="13" borderId="9" xfId="0" applyFont="1" applyFill="1" applyBorder="1" applyAlignment="1" applyProtection="1">
      <alignment horizontal="center" vertical="center" wrapText="1"/>
    </xf>
    <xf numFmtId="0" fontId="7" fillId="13" borderId="15" xfId="0" applyFont="1" applyFill="1" applyBorder="1" applyAlignment="1" applyProtection="1">
      <alignment horizontal="center" vertical="center" wrapText="1"/>
    </xf>
    <xf numFmtId="0" fontId="7" fillId="13" borderId="11" xfId="0" applyFont="1" applyFill="1" applyBorder="1" applyAlignment="1" applyProtection="1">
      <alignment horizontal="center" vertical="center" wrapText="1"/>
    </xf>
    <xf numFmtId="0" fontId="7" fillId="12" borderId="9" xfId="0" applyFont="1" applyFill="1" applyBorder="1" applyAlignment="1" applyProtection="1">
      <alignment horizontal="center" vertical="center" wrapText="1"/>
    </xf>
    <xf numFmtId="0" fontId="7" fillId="12" borderId="36" xfId="0" applyFont="1" applyFill="1" applyBorder="1" applyAlignment="1" applyProtection="1">
      <alignment horizontal="center" vertical="center" wrapText="1"/>
    </xf>
    <xf numFmtId="0" fontId="7" fillId="8" borderId="36" xfId="0" applyFont="1" applyFill="1" applyBorder="1" applyAlignment="1" applyProtection="1">
      <alignment horizontal="center" vertical="center" wrapText="1"/>
    </xf>
    <xf numFmtId="14" fontId="0" fillId="0" borderId="46" xfId="0" applyNumberFormat="1" applyBorder="1" applyAlignment="1" applyProtection="1"/>
    <xf numFmtId="14" fontId="0" fillId="0" borderId="47" xfId="0" applyNumberFormat="1" applyBorder="1" applyAlignment="1" applyProtection="1"/>
    <xf numFmtId="165" fontId="0" fillId="3" borderId="48" xfId="0" applyNumberFormat="1" applyFill="1" applyBorder="1" applyAlignment="1" applyProtection="1">
      <alignment horizontal="center" vertical="center"/>
    </xf>
    <xf numFmtId="0" fontId="7" fillId="7" borderId="48" xfId="0" applyFont="1" applyFill="1" applyBorder="1" applyAlignment="1" applyProtection="1">
      <alignment horizontal="center" vertical="center" wrapText="1"/>
    </xf>
    <xf numFmtId="0" fontId="8" fillId="0" borderId="49" xfId="0" applyFont="1" applyBorder="1" applyAlignment="1" applyProtection="1">
      <alignment horizontal="center"/>
    </xf>
    <xf numFmtId="0" fontId="0" fillId="0" borderId="49" xfId="0" applyBorder="1"/>
    <xf numFmtId="14" fontId="0" fillId="0" borderId="50" xfId="0" applyNumberFormat="1" applyBorder="1" applyAlignment="1" applyProtection="1"/>
    <xf numFmtId="0" fontId="0" fillId="0" borderId="33" xfId="0" applyFill="1" applyBorder="1" applyAlignment="1" applyProtection="1"/>
    <xf numFmtId="0" fontId="6" fillId="6" borderId="0" xfId="0" applyFont="1" applyFill="1" applyBorder="1" applyAlignment="1" applyProtection="1">
      <alignment horizontal="center" vertical="center" wrapText="1"/>
    </xf>
    <xf numFmtId="0" fontId="0" fillId="0" borderId="40" xfId="0" applyFill="1" applyBorder="1" applyAlignment="1" applyProtection="1"/>
    <xf numFmtId="0" fontId="0" fillId="0" borderId="42" xfId="0" applyFill="1" applyBorder="1" applyAlignment="1" applyProtection="1"/>
    <xf numFmtId="0" fontId="0" fillId="0" borderId="45" xfId="0" applyFill="1" applyBorder="1" applyAlignment="1" applyProtection="1"/>
    <xf numFmtId="0" fontId="7" fillId="8" borderId="7" xfId="0" applyFont="1" applyFill="1" applyBorder="1" applyAlignment="1" applyProtection="1">
      <alignment horizontal="center" vertical="center" wrapText="1"/>
    </xf>
    <xf numFmtId="0" fontId="0" fillId="0" borderId="52" xfId="0" applyBorder="1" applyAlignment="1" applyProtection="1"/>
    <xf numFmtId="0" fontId="0" fillId="0" borderId="53" xfId="0" applyBorder="1" applyAlignment="1" applyProtection="1"/>
    <xf numFmtId="14" fontId="0" fillId="0" borderId="51" xfId="0" applyNumberFormat="1" applyBorder="1" applyAlignment="1" applyProtection="1"/>
    <xf numFmtId="14" fontId="0" fillId="0" borderId="33" xfId="0" applyNumberFormat="1" applyBorder="1" applyAlignment="1" applyProtection="1"/>
    <xf numFmtId="14" fontId="0" fillId="0" borderId="31" xfId="0" applyNumberFormat="1" applyBorder="1" applyAlignment="1" applyProtection="1"/>
    <xf numFmtId="14" fontId="0" fillId="0" borderId="44" xfId="0" applyNumberFormat="1" applyBorder="1" applyAlignment="1" applyProtection="1"/>
    <xf numFmtId="0" fontId="7" fillId="7" borderId="20" xfId="0" applyFont="1" applyFill="1" applyBorder="1" applyAlignment="1" applyProtection="1">
      <alignment horizontal="center" vertical="center" wrapText="1"/>
    </xf>
    <xf numFmtId="0" fontId="8" fillId="0" borderId="54" xfId="0" applyFont="1" applyBorder="1" applyAlignment="1" applyProtection="1">
      <alignment horizontal="center"/>
    </xf>
    <xf numFmtId="0" fontId="0" fillId="0" borderId="54" xfId="0" applyBorder="1"/>
    <xf numFmtId="0" fontId="0" fillId="0" borderId="0" xfId="0" applyBorder="1" applyAlignment="1" applyProtection="1"/>
    <xf numFmtId="0" fontId="7" fillId="13" borderId="36" xfId="0" applyFont="1" applyFill="1" applyBorder="1" applyAlignment="1" applyProtection="1">
      <alignment horizontal="center" vertical="center" wrapText="1"/>
    </xf>
    <xf numFmtId="0" fontId="7" fillId="12" borderId="20" xfId="0" applyFont="1" applyFill="1" applyBorder="1" applyAlignment="1" applyProtection="1">
      <alignment horizontal="center" vertical="center" wrapText="1"/>
    </xf>
    <xf numFmtId="0" fontId="7" fillId="13" borderId="4" xfId="0" applyFont="1" applyFill="1" applyBorder="1" applyAlignment="1" applyProtection="1">
      <alignment horizontal="center" vertical="center" wrapText="1"/>
    </xf>
    <xf numFmtId="0" fontId="7" fillId="12" borderId="5" xfId="0" applyFont="1" applyFill="1" applyBorder="1" applyAlignment="1" applyProtection="1">
      <alignment horizontal="center" vertical="center" wrapText="1"/>
    </xf>
    <xf numFmtId="0" fontId="7" fillId="12" borderId="15" xfId="0" applyFont="1" applyFill="1" applyBorder="1" applyAlignment="1" applyProtection="1">
      <alignment horizontal="center" vertical="center" wrapText="1"/>
    </xf>
    <xf numFmtId="0" fontId="7" fillId="13" borderId="38" xfId="0" applyFont="1" applyFill="1" applyBorder="1" applyAlignment="1" applyProtection="1">
      <alignment horizontal="center" vertical="center" wrapText="1"/>
    </xf>
    <xf numFmtId="14" fontId="0" fillId="0" borderId="55" xfId="0" applyNumberFormat="1" applyBorder="1" applyAlignment="1" applyProtection="1"/>
    <xf numFmtId="0" fontId="0" fillId="0" borderId="32" xfId="0" applyFill="1" applyBorder="1" applyAlignment="1" applyProtection="1"/>
    <xf numFmtId="0" fontId="0" fillId="0" borderId="56" xfId="0" applyBorder="1" applyAlignment="1" applyProtection="1"/>
    <xf numFmtId="165" fontId="17" fillId="3" borderId="1" xfId="0" applyNumberFormat="1" applyFont="1" applyFill="1" applyBorder="1" applyAlignment="1" applyProtection="1">
      <alignment horizontal="center" vertical="center"/>
    </xf>
    <xf numFmtId="0" fontId="7" fillId="7" borderId="38" xfId="0" applyFont="1" applyFill="1" applyBorder="1" applyAlignment="1" applyProtection="1">
      <alignment horizontal="center" vertical="center" wrapText="1"/>
    </xf>
    <xf numFmtId="165" fontId="0" fillId="3" borderId="57" xfId="0" applyNumberFormat="1" applyFill="1" applyBorder="1" applyAlignment="1" applyProtection="1">
      <alignment horizontal="center" vertical="center"/>
    </xf>
    <xf numFmtId="0" fontId="7" fillId="8" borderId="58" xfId="0" applyFont="1" applyFill="1" applyBorder="1" applyAlignment="1" applyProtection="1">
      <alignment horizontal="center" vertical="center" wrapText="1"/>
    </xf>
    <xf numFmtId="0" fontId="8" fillId="0" borderId="59" xfId="0" applyFont="1" applyBorder="1" applyAlignment="1" applyProtection="1">
      <alignment horizontal="center"/>
    </xf>
    <xf numFmtId="0" fontId="0" fillId="0" borderId="59" xfId="0" applyBorder="1"/>
    <xf numFmtId="0" fontId="0" fillId="0" borderId="19" xfId="0" applyBorder="1"/>
    <xf numFmtId="14" fontId="0" fillId="0" borderId="60" xfId="0" applyNumberFormat="1" applyBorder="1" applyAlignment="1" applyProtection="1"/>
    <xf numFmtId="0" fontId="0" fillId="0" borderId="60" xfId="0" applyBorder="1" applyAlignment="1" applyProtection="1"/>
    <xf numFmtId="0" fontId="0" fillId="0" borderId="43" xfId="0" applyBorder="1" applyAlignment="1" applyProtection="1"/>
    <xf numFmtId="0" fontId="8" fillId="0" borderId="61" xfId="0" applyFont="1" applyBorder="1" applyAlignment="1" applyProtection="1">
      <alignment horizontal="center"/>
    </xf>
    <xf numFmtId="0" fontId="0" fillId="0" borderId="61" xfId="0" applyBorder="1"/>
    <xf numFmtId="0" fontId="7" fillId="14" borderId="9" xfId="0" applyFont="1" applyFill="1" applyBorder="1" applyAlignment="1" applyProtection="1">
      <alignment horizontal="center" vertical="center" wrapText="1"/>
    </xf>
    <xf numFmtId="14" fontId="0" fillId="0" borderId="32" xfId="0" applyNumberFormat="1" applyBorder="1" applyAlignment="1" applyProtection="1"/>
    <xf numFmtId="0" fontId="7" fillId="12" borderId="38" xfId="0" applyFont="1" applyFill="1" applyBorder="1" applyAlignment="1" applyProtection="1">
      <alignment horizontal="center" vertical="center" wrapText="1"/>
    </xf>
    <xf numFmtId="0" fontId="7" fillId="15" borderId="1" xfId="0" applyFont="1" applyFill="1" applyBorder="1" applyAlignment="1" applyProtection="1">
      <alignment horizontal="center" vertical="center" wrapText="1"/>
    </xf>
    <xf numFmtId="0" fontId="7" fillId="14" borderId="1" xfId="0" applyFont="1" applyFill="1" applyBorder="1" applyAlignment="1" applyProtection="1">
      <alignment horizontal="center" vertical="center" wrapText="1"/>
    </xf>
    <xf numFmtId="165" fontId="0" fillId="3" borderId="62" xfId="0" applyNumberFormat="1" applyFill="1" applyBorder="1" applyAlignment="1" applyProtection="1">
      <alignment horizontal="center" vertical="center"/>
    </xf>
    <xf numFmtId="0" fontId="7" fillId="8" borderId="62" xfId="0" applyFont="1" applyFill="1" applyBorder="1" applyAlignment="1" applyProtection="1">
      <alignment horizontal="center" vertical="center" wrapText="1"/>
    </xf>
    <xf numFmtId="0" fontId="8" fillId="0" borderId="63" xfId="0" applyFont="1" applyBorder="1" applyAlignment="1" applyProtection="1">
      <alignment horizontal="center"/>
    </xf>
    <xf numFmtId="0" fontId="0" fillId="0" borderId="63" xfId="0" applyBorder="1"/>
    <xf numFmtId="0" fontId="0" fillId="0" borderId="37" xfId="0" applyBorder="1" applyAlignment="1" applyProtection="1"/>
    <xf numFmtId="0" fontId="7" fillId="13" borderId="62" xfId="0" applyFont="1" applyFill="1" applyBorder="1" applyAlignment="1" applyProtection="1">
      <alignment horizontal="center" vertical="center" wrapText="1"/>
    </xf>
    <xf numFmtId="0" fontId="0" fillId="16" borderId="37" xfId="0" applyFill="1" applyBorder="1"/>
    <xf numFmtId="0" fontId="0" fillId="0" borderId="52" xfId="0" applyFill="1" applyBorder="1" applyAlignment="1" applyProtection="1"/>
    <xf numFmtId="0" fontId="7" fillId="7" borderId="62" xfId="0" applyFont="1" applyFill="1" applyBorder="1" applyAlignment="1" applyProtection="1">
      <alignment horizontal="center" vertical="center" wrapText="1"/>
    </xf>
    <xf numFmtId="0" fontId="0" fillId="0" borderId="63" xfId="0" applyBorder="1" applyAlignment="1" applyProtection="1"/>
    <xf numFmtId="0" fontId="7" fillId="13" borderId="20" xfId="0" applyFont="1" applyFill="1" applyBorder="1" applyAlignment="1" applyProtection="1">
      <alignment horizontal="center" vertical="center" wrapText="1"/>
    </xf>
    <xf numFmtId="0" fontId="7" fillId="12" borderId="62" xfId="0" applyFont="1" applyFill="1" applyBorder="1" applyAlignment="1" applyProtection="1">
      <alignment horizontal="center" vertical="center" wrapText="1"/>
    </xf>
    <xf numFmtId="0" fontId="7" fillId="8" borderId="48" xfId="0" applyFont="1" applyFill="1" applyBorder="1" applyAlignment="1" applyProtection="1">
      <alignment horizontal="center" vertical="center" wrapText="1"/>
    </xf>
    <xf numFmtId="0" fontId="0" fillId="0" borderId="49" xfId="0" applyBorder="1" applyAlignment="1" applyProtection="1"/>
    <xf numFmtId="0" fontId="0" fillId="17" borderId="0" xfId="0" applyFill="1"/>
    <xf numFmtId="0" fontId="7" fillId="13" borderId="48" xfId="0" applyFont="1" applyFill="1" applyBorder="1" applyAlignment="1" applyProtection="1">
      <alignment horizontal="center" vertical="center" wrapText="1"/>
    </xf>
    <xf numFmtId="0" fontId="0" fillId="17" borderId="8" xfId="0" applyFill="1" applyBorder="1"/>
    <xf numFmtId="0" fontId="0" fillId="0" borderId="0" xfId="0" applyBorder="1"/>
    <xf numFmtId="14" fontId="0" fillId="0" borderId="64" xfId="0" applyNumberFormat="1" applyBorder="1" applyAlignment="1" applyProtection="1"/>
    <xf numFmtId="165" fontId="0" fillId="0" borderId="65" xfId="0" applyNumberFormat="1" applyFill="1" applyBorder="1" applyAlignment="1" applyProtection="1">
      <alignment horizontal="center" vertical="center"/>
    </xf>
    <xf numFmtId="0" fontId="0" fillId="0" borderId="66" xfId="0" applyFill="1" applyBorder="1" applyAlignment="1" applyProtection="1"/>
    <xf numFmtId="0" fontId="0" fillId="0" borderId="66" xfId="0" applyBorder="1" applyAlignment="1" applyProtection="1"/>
    <xf numFmtId="0" fontId="0" fillId="0" borderId="67" xfId="0" applyFill="1" applyBorder="1" applyAlignment="1" applyProtection="1"/>
    <xf numFmtId="165" fontId="0" fillId="0" borderId="68" xfId="0" applyNumberFormat="1" applyFill="1" applyBorder="1" applyAlignment="1" applyProtection="1">
      <alignment horizontal="center" vertical="center"/>
    </xf>
    <xf numFmtId="0" fontId="0" fillId="0" borderId="69" xfId="0" applyFill="1" applyBorder="1" applyAlignment="1" applyProtection="1"/>
    <xf numFmtId="0" fontId="0" fillId="0" borderId="69" xfId="0" applyBorder="1" applyAlignment="1" applyProtection="1"/>
    <xf numFmtId="0" fontId="0" fillId="0" borderId="70" xfId="0" applyFill="1" applyBorder="1" applyAlignment="1" applyProtection="1"/>
    <xf numFmtId="0" fontId="0" fillId="0" borderId="70" xfId="0" applyBorder="1" applyAlignment="1" applyProtection="1"/>
    <xf numFmtId="165" fontId="0" fillId="0" borderId="71" xfId="0" applyNumberFormat="1" applyFill="1" applyBorder="1" applyAlignment="1" applyProtection="1">
      <alignment horizontal="center" vertical="center"/>
    </xf>
    <xf numFmtId="0" fontId="0" fillId="0" borderId="72" xfId="0" applyFill="1" applyBorder="1" applyAlignment="1" applyProtection="1"/>
    <xf numFmtId="0" fontId="0" fillId="0" borderId="72" xfId="0" applyBorder="1" applyAlignment="1" applyProtection="1"/>
    <xf numFmtId="0" fontId="0" fillId="0" borderId="73" xfId="0" applyBorder="1" applyAlignment="1" applyProtection="1"/>
    <xf numFmtId="0" fontId="0" fillId="0" borderId="75" xfId="0" applyBorder="1" applyAlignment="1" applyProtection="1"/>
    <xf numFmtId="0" fontId="0" fillId="0" borderId="76" xfId="0" applyFill="1" applyBorder="1" applyAlignment="1" applyProtection="1"/>
    <xf numFmtId="0" fontId="0" fillId="0" borderId="73" xfId="0" applyFill="1" applyBorder="1" applyAlignment="1" applyProtection="1"/>
    <xf numFmtId="14" fontId="0" fillId="0" borderId="74" xfId="0" applyNumberFormat="1" applyBorder="1" applyAlignment="1" applyProtection="1">
      <alignment horizontal="center"/>
    </xf>
    <xf numFmtId="14" fontId="0" fillId="0" borderId="77" xfId="0" applyNumberFormat="1" applyBorder="1" applyAlignment="1" applyProtection="1">
      <alignment horizontal="center"/>
    </xf>
    <xf numFmtId="14" fontId="0" fillId="0" borderId="74" xfId="0" applyNumberFormat="1" applyBorder="1" applyAlignment="1" applyProtection="1"/>
    <xf numFmtId="0" fontId="0" fillId="0" borderId="75" xfId="0" applyFill="1" applyBorder="1" applyAlignment="1" applyProtection="1"/>
    <xf numFmtId="14" fontId="0" fillId="0" borderId="78" xfId="0" applyNumberFormat="1" applyBorder="1" applyAlignment="1" applyProtection="1"/>
    <xf numFmtId="14" fontId="0" fillId="0" borderId="77" xfId="0" applyNumberFormat="1" applyBorder="1" applyAlignment="1" applyProtection="1"/>
    <xf numFmtId="165" fontId="0" fillId="3" borderId="79" xfId="0" applyNumberFormat="1" applyFill="1" applyBorder="1" applyAlignment="1" applyProtection="1">
      <alignment horizontal="center" vertical="center"/>
    </xf>
    <xf numFmtId="0" fontId="0" fillId="17" borderId="0" xfId="0" applyFill="1" applyAlignment="1" applyProtection="1"/>
    <xf numFmtId="0" fontId="7" fillId="13" borderId="7" xfId="0" applyFont="1" applyFill="1" applyBorder="1" applyAlignment="1" applyProtection="1">
      <alignment horizontal="center" vertical="center" wrapText="1"/>
    </xf>
    <xf numFmtId="0" fontId="0" fillId="17" borderId="37" xfId="0" applyFill="1" applyBorder="1"/>
    <xf numFmtId="0" fontId="0" fillId="17" borderId="0" xfId="0" applyFill="1" applyBorder="1"/>
    <xf numFmtId="0" fontId="0" fillId="0" borderId="76" xfId="0" applyBorder="1" applyAlignment="1" applyProtection="1"/>
    <xf numFmtId="0" fontId="0" fillId="0" borderId="0" xfId="0" applyFill="1" applyBorder="1"/>
    <xf numFmtId="0" fontId="2" fillId="2" borderId="0" xfId="0" applyFont="1" applyFill="1" applyBorder="1" applyAlignment="1" applyProtection="1">
      <alignment horizontal="center" vertical="center"/>
    </xf>
    <xf numFmtId="164" fontId="0" fillId="3" borderId="2" xfId="0" applyNumberFormat="1" applyFill="1" applyBorder="1" applyAlignment="1" applyProtection="1">
      <alignment horizontal="left" vertical="center"/>
    </xf>
    <xf numFmtId="0" fontId="11" fillId="9" borderId="35" xfId="0" applyFont="1" applyFill="1" applyBorder="1" applyAlignment="1" applyProtection="1">
      <alignment horizontal="center" vertical="center"/>
    </xf>
    <xf numFmtId="0" fontId="0" fillId="0" borderId="8" xfId="0" applyFill="1" applyBorder="1"/>
    <xf numFmtId="14" fontId="0" fillId="0" borderId="75" xfId="0" applyNumberFormat="1" applyBorder="1" applyAlignment="1" applyProtection="1"/>
    <xf numFmtId="14" fontId="0" fillId="0" borderId="69" xfId="0" applyNumberFormat="1" applyBorder="1" applyAlignment="1" applyProtection="1"/>
    <xf numFmtId="14" fontId="0" fillId="0" borderId="72" xfId="0" applyNumberFormat="1" applyBorder="1" applyAlignment="1" applyProtection="1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F2F8FF"/>
      <rgbColor rgb="FF660066"/>
      <rgbColor rgb="FFED7D31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C"/>
      <rgbColor rgb="FFE2EFDA"/>
      <rgbColor rgb="FFD9D9D9"/>
      <rgbColor rgb="FFD6E4F0"/>
      <rgbColor rgb="FFFF99CC"/>
      <rgbColor rgb="FFCC99FF"/>
      <rgbColor rgb="FFFAC090"/>
      <rgbColor rgb="FF2E75B6"/>
      <rgbColor rgb="FF33CCCC"/>
      <rgbColor rgb="FF99CC00"/>
      <rgbColor rgb="FFFFCC00"/>
      <rgbColor rgb="FFFF9900"/>
      <rgbColor rgb="FFE46C0A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 rot="0"/>
          <a:lstStyle/>
          <a:p>
            <a:pPr>
              <a:defRPr lang="cs-CZ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s-CZ" sz="1800" b="1" strike="noStrike" spc="-1">
                <a:solidFill>
                  <a:srgbClr val="000000"/>
                </a:solidFill>
                <a:latin typeface="Calibri"/>
              </a:rPr>
              <a:t>Pareto – PREFIX (Top vady)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PREFIX'!$L$6</c:f>
              <c:strCache>
                <c:ptCount val="1"/>
                <c:pt idx="0">
                  <c:v>Počet MC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PREFIX'!$J$7:$J$41</c:f>
              <c:strCache>
                <c:ptCount val="35"/>
                <c:pt idx="0">
                  <c:v>KRSK</c:v>
                </c:pt>
                <c:pt idx="1">
                  <c:v>KRSS</c:v>
                </c:pt>
                <c:pt idx="2">
                  <c:v>SPF</c:v>
                </c:pt>
                <c:pt idx="3">
                  <c:v>KRSW</c:v>
                </c:pt>
                <c:pt idx="4">
                  <c:v>NRW</c:v>
                </c:pt>
                <c:pt idx="5">
                  <c:v>SSP2</c:v>
                </c:pt>
                <c:pt idx="6">
                  <c:v>PDSP</c:v>
                </c:pt>
                <c:pt idx="7">
                  <c:v>PMEP</c:v>
                </c:pt>
                <c:pt idx="8">
                  <c:v>PSNA</c:v>
                </c:pt>
                <c:pt idx="9">
                  <c:v>PDEP</c:v>
                </c:pt>
                <c:pt idx="10">
                  <c:v>PSKU</c:v>
                </c:pt>
                <c:pt idx="11">
                  <c:v>PLPK</c:v>
                </c:pt>
                <c:pt idx="12">
                  <c:v>LEP</c:v>
                </c:pt>
                <c:pt idx="13">
                  <c:v>PVZD</c:v>
                </c:pt>
                <c:pt idx="14">
                  <c:v>PELC</c:v>
                </c:pt>
                <c:pt idx="15">
                  <c:v>OTL</c:v>
                </c:pt>
                <c:pt idx="16">
                  <c:v>ZHN</c:v>
                </c:pt>
                <c:pt idx="17">
                  <c:v>PSZA</c:v>
                </c:pt>
                <c:pt idx="18">
                  <c:v>PSPC</c:v>
                </c:pt>
                <c:pt idx="19">
                  <c:v>PSGL</c:v>
                </c:pt>
                <c:pt idx="20">
                  <c:v>OHN2</c:v>
                </c:pt>
                <c:pt idx="21">
                  <c:v>PSMK</c:v>
                </c:pt>
                <c:pt idx="22">
                  <c:v>ZVR</c:v>
                </c:pt>
                <c:pt idx="23">
                  <c:v>LAB</c:v>
                </c:pt>
                <c:pt idx="24">
                  <c:v>PKOL</c:v>
                </c:pt>
                <c:pt idx="25">
                  <c:v>PNHE</c:v>
                </c:pt>
                <c:pt idx="26">
                  <c:v>DEL</c:v>
                </c:pt>
                <c:pt idx="27">
                  <c:v>PDEL</c:v>
                </c:pt>
                <c:pt idx="28">
                  <c:v>ZNA</c:v>
                </c:pt>
                <c:pt idx="29">
                  <c:v>FLEK</c:v>
                </c:pt>
                <c:pt idx="30">
                  <c:v>PSKZ</c:v>
                </c:pt>
                <c:pt idx="31">
                  <c:v>PSHC</c:v>
                </c:pt>
                <c:pt idx="32">
                  <c:v>PSMC</c:v>
                </c:pt>
                <c:pt idx="33">
                  <c:v>PELS</c:v>
                </c:pt>
                <c:pt idx="34">
                  <c:v>PSAL</c:v>
                </c:pt>
              </c:strCache>
            </c:strRef>
          </c:cat>
          <c:val>
            <c:numRef>
              <c:f>'Pareto PREFIX'!$L$7:$L$41</c:f>
              <c:numCache>
                <c:formatCode>General</c:formatCode>
                <c:ptCount val="35"/>
                <c:pt idx="0">
                  <c:v>167</c:v>
                </c:pt>
                <c:pt idx="1">
                  <c:v>112</c:v>
                </c:pt>
                <c:pt idx="2">
                  <c:v>70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28</c:v>
                </c:pt>
                <c:pt idx="7">
                  <c:v>25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3-46E5-A288-990443390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843291"/>
        <c:axId val="42416244"/>
      </c:barChart>
      <c:catAx>
        <c:axId val="448432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cs-CZ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cs-CZ" sz="1000" b="1" strike="noStrike" spc="-1">
                    <a:solidFill>
                      <a:srgbClr val="000000"/>
                    </a:solidFill>
                    <a:latin typeface="Calibri"/>
                  </a:rPr>
                  <a:t>Kód vady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cs-CZ"/>
          </a:p>
        </c:txPr>
        <c:crossAx val="42416244"/>
        <c:crosses val="autoZero"/>
        <c:auto val="1"/>
        <c:lblAlgn val="ctr"/>
        <c:lblOffset val="100"/>
        <c:noMultiLvlLbl val="0"/>
      </c:catAx>
      <c:valAx>
        <c:axId val="424162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cs-CZ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cs-CZ" sz="1000" b="1" strike="noStrike" spc="-1">
                    <a:solidFill>
                      <a:srgbClr val="000000"/>
                    </a:solidFill>
                    <a:latin typeface="Calibri"/>
                  </a:rPr>
                  <a:t>Počet main carrierů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cs-CZ"/>
          </a:p>
        </c:txPr>
        <c:crossAx val="44843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cs-CZ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 rot="0"/>
          <a:lstStyle/>
          <a:p>
            <a:pPr>
              <a:defRPr lang="cs-CZ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s-CZ" sz="1800" b="1" strike="noStrike" spc="-1">
                <a:solidFill>
                  <a:srgbClr val="000000"/>
                </a:solidFill>
                <a:latin typeface="Calibri"/>
              </a:rPr>
              <a:t>Pareto – SKLAD (Top vady)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SKLAD'!$L$6</c:f>
              <c:strCache>
                <c:ptCount val="1"/>
                <c:pt idx="0">
                  <c:v>Počet MC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SKLAD'!$J$7:$J$37</c:f>
              <c:strCache>
                <c:ptCount val="31"/>
                <c:pt idx="0">
                  <c:v>KRSK</c:v>
                </c:pt>
                <c:pt idx="1">
                  <c:v>PDSP</c:v>
                </c:pt>
                <c:pt idx="2">
                  <c:v>PVZD</c:v>
                </c:pt>
                <c:pt idx="3">
                  <c:v>SPF</c:v>
                </c:pt>
                <c:pt idx="4">
                  <c:v>NRW</c:v>
                </c:pt>
                <c:pt idx="5">
                  <c:v>PMEP</c:v>
                </c:pt>
                <c:pt idx="6">
                  <c:v>KRSS</c:v>
                </c:pt>
                <c:pt idx="7">
                  <c:v>KRSW</c:v>
                </c:pt>
                <c:pt idx="8">
                  <c:v>SSP2</c:v>
                </c:pt>
                <c:pt idx="9">
                  <c:v>PSKU</c:v>
                </c:pt>
                <c:pt idx="10">
                  <c:v>PDEP</c:v>
                </c:pt>
                <c:pt idx="11">
                  <c:v>PSNA</c:v>
                </c:pt>
                <c:pt idx="12">
                  <c:v>ZVR</c:v>
                </c:pt>
                <c:pt idx="13">
                  <c:v>OTL</c:v>
                </c:pt>
                <c:pt idx="14">
                  <c:v>LEP</c:v>
                </c:pt>
                <c:pt idx="15">
                  <c:v>FLEK</c:v>
                </c:pt>
                <c:pt idx="16">
                  <c:v>PSKZ</c:v>
                </c:pt>
                <c:pt idx="17">
                  <c:v>OHN2</c:v>
                </c:pt>
                <c:pt idx="18">
                  <c:v>PSMK</c:v>
                </c:pt>
                <c:pt idx="19">
                  <c:v>LAB</c:v>
                </c:pt>
                <c:pt idx="20">
                  <c:v>PKOL</c:v>
                </c:pt>
                <c:pt idx="21">
                  <c:v>PELC</c:v>
                </c:pt>
                <c:pt idx="22">
                  <c:v>PNHE</c:v>
                </c:pt>
                <c:pt idx="23">
                  <c:v>DEL</c:v>
                </c:pt>
                <c:pt idx="24">
                  <c:v>PDEL</c:v>
                </c:pt>
                <c:pt idx="25">
                  <c:v>ZHN</c:v>
                </c:pt>
                <c:pt idx="26">
                  <c:v>PSPC</c:v>
                </c:pt>
                <c:pt idx="27">
                  <c:v>PSHC</c:v>
                </c:pt>
                <c:pt idx="28">
                  <c:v>PSMC</c:v>
                </c:pt>
                <c:pt idx="29">
                  <c:v>PELS</c:v>
                </c:pt>
                <c:pt idx="30">
                  <c:v>PSGL</c:v>
                </c:pt>
              </c:strCache>
            </c:strRef>
          </c:cat>
          <c:val>
            <c:numRef>
              <c:f>'Pareto SKLAD'!$L$7:$L$37</c:f>
              <c:numCache>
                <c:formatCode>General</c:formatCode>
                <c:ptCount val="31"/>
                <c:pt idx="0">
                  <c:v>129</c:v>
                </c:pt>
                <c:pt idx="1">
                  <c:v>115</c:v>
                </c:pt>
                <c:pt idx="2">
                  <c:v>99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29</c:v>
                </c:pt>
                <c:pt idx="7">
                  <c:v>28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4-4F99-93C0-430D488B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55921"/>
        <c:axId val="67339844"/>
      </c:barChart>
      <c:catAx>
        <c:axId val="36255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cs-CZ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cs-CZ" sz="1000" b="1" strike="noStrike" spc="-1">
                    <a:solidFill>
                      <a:srgbClr val="000000"/>
                    </a:solidFill>
                    <a:latin typeface="Calibri"/>
                  </a:rPr>
                  <a:t>Kód vady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cs-CZ"/>
          </a:p>
        </c:txPr>
        <c:crossAx val="67339844"/>
        <c:crosses val="autoZero"/>
        <c:auto val="1"/>
        <c:lblAlgn val="ctr"/>
        <c:lblOffset val="100"/>
        <c:noMultiLvlLbl val="0"/>
      </c:catAx>
      <c:valAx>
        <c:axId val="673398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cs-CZ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cs-CZ" sz="1000" b="1" strike="noStrike" spc="-1">
                    <a:solidFill>
                      <a:srgbClr val="000000"/>
                    </a:solidFill>
                    <a:latin typeface="Calibri"/>
                  </a:rPr>
                  <a:t>Počet main carrierů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cs-CZ"/>
          </a:p>
        </c:txPr>
        <c:crossAx val="36255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cs-CZ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123840</xdr:colOff>
      <xdr:row>4</xdr:row>
      <xdr:rowOff>133200</xdr:rowOff>
    </xdr:from>
    <xdr:to>
      <xdr:col>19</xdr:col>
      <xdr:colOff>420480</xdr:colOff>
      <xdr:row>34</xdr:row>
      <xdr:rowOff>173520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276120</xdr:colOff>
      <xdr:row>5</xdr:row>
      <xdr:rowOff>133200</xdr:rowOff>
    </xdr:from>
    <xdr:to>
      <xdr:col>30</xdr:col>
      <xdr:colOff>544320</xdr:colOff>
      <xdr:row>35</xdr:row>
      <xdr:rowOff>116640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acheslav Popov (Plana nad luznici,CZ)" id="{C9498B0A-7831-41C1-A872-C921CE3FF9AC}" userId="S::viacheslav.popov@yanfeng.com::a82e07a6-a713-411f-b479-535cd45d83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6" dT="2026-06-05T05:50:31.64" personId="{C9498B0A-7831-41C1-A872-C921CE3FF9AC}" id="{1A9705FF-16B9-4E29-90C6-C9E1710D4B20}">
    <text xml:space="preserve">IMM
</text>
  </threadedComment>
  <threadedComment ref="P27" dT="2026-06-05T05:50:42.93" personId="{C9498B0A-7831-41C1-A872-C921CE3FF9AC}" id="{69ACAE89-80DC-4C83-A523-E4EBB8464E0A}">
    <text xml:space="preserve">IMM
</text>
  </threadedComment>
  <threadedComment ref="P28" dT="2026-06-05T05:50:53.20" personId="{C9498B0A-7831-41C1-A872-C921CE3FF9AC}" id="{746AB7DD-48B6-400F-AE24-3CBAE1AF7960}">
    <text>IMM</text>
  </threadedComment>
  <threadedComment ref="P29" dT="2026-06-05T05:50:21.35" personId="{C9498B0A-7831-41C1-A872-C921CE3FF9AC}" id="{4A4D5F78-6A31-4F00-B106-154AEE1204C3}">
    <text xml:space="preserve">Teflonka
</text>
  </threadedComment>
  <threadedComment ref="AF43" dT="2026-06-10T05:35:59.48" personId="{C9498B0A-7831-41C1-A872-C921CE3FF9AC}" id="{40E76AB3-64EA-43B3-93D2-FA07F804AF4C}">
    <text xml:space="preserve">Glu
</text>
  </threadedComment>
  <threadedComment ref="Y65" dT="2026-06-15T05:25:03.94" personId="{C9498B0A-7831-41C1-A872-C921CE3FF9AC}" id="{C1795550-4C3D-484E-9334-117388BF6025}">
    <text>Roh a zona</text>
  </threadedComment>
  <threadedComment ref="V80" dT="2026-06-18T05:54:47.63" personId="{C9498B0A-7831-41C1-A872-C921CE3FF9AC}" id="{05E74A25-F6F3-4BB4-8BFD-03A6146BA5C6}">
    <text>Porucha laminace</text>
  </threadedComment>
  <threadedComment ref="V81" dT="2026-06-18T05:55:55.86" personId="{C9498B0A-7831-41C1-A872-C921CE3FF9AC}" id="{67478B25-4F0B-49E2-BF7B-29C3511441B9}">
    <text>Porucha laminace / deformovan0 zebro A zona, nocni smena</text>
  </threadedComment>
  <threadedComment ref="E98" dT="2026-06-23T05:33:01.09" personId="{C9498B0A-7831-41C1-A872-C921CE3FF9AC}" id="{90CCBA44-07BA-472F-A7FF-B9E06B597371}">
    <text>kabel</text>
  </threadedComment>
  <threadedComment ref="H168" dT="2026-07-09T05:35:23.33" personId="{C9498B0A-7831-41C1-A872-C921CE3FF9AC}" id="{4E2E4627-AF64-41B1-8472-4C3FBA30FFD3}">
    <text>WL</text>
  </threadedComment>
  <threadedComment ref="Z175" dT="2026-07-10T06:48:02.55" personId="{C9498B0A-7831-41C1-A872-C921CE3FF9AC}" id="{AF6026DB-34BB-4803-AC57-97D604F82171}">
    <text xml:space="preserve">Poškozené sítí </text>
  </threadedComment>
  <threadedComment ref="Y247" dT="2026-08-18T05:29:58.49" personId="{C9498B0A-7831-41C1-A872-C921CE3FF9AC}" id="{2A1D72C6-C0C4-4AC6-AB22-8E96A04607E5}">
    <text xml:space="preserve">Spalena kuze
</text>
  </threadedComment>
  <threadedComment ref="H253" dT="2026-08-19T05:27:35.00" personId="{C9498B0A-7831-41C1-A872-C921CE3FF9AC}" id="{6A18B9C5-B4D0-49B8-9ACC-AC97AF530561}">
    <text>MP</text>
  </threadedComment>
  <threadedComment ref="P253" dT="2026-08-19T05:32:46.79" personId="{C9498B0A-7831-41C1-A872-C921CE3FF9AC}" id="{9899DA3B-1785-40BC-B850-6C96DB6A1D41}">
    <text>WL</text>
  </threadedComment>
  <threadedComment ref="Y253" dT="2026-08-19T05:41:30.53" personId="{C9498B0A-7831-41C1-A872-C921CE3FF9AC}" id="{D062B838-57AC-4939-A7A6-F6F444BB2C21}">
    <text>SPALENA KUZE</text>
  </threadedComment>
  <threadedComment ref="Y261" dT="2026-08-21T05:47:26.77" personId="{C9498B0A-7831-41C1-A872-C921CE3FF9AC}" id="{4772A1BD-008D-4652-A987-D7A6CA4BE761}">
    <text>Skin def</text>
  </threadedComment>
  <threadedComment ref="H270" dT="2026-08-25T05:29:27.62" personId="{C9498B0A-7831-41C1-A872-C921CE3FF9AC}" id="{346D791D-C241-47C3-823F-C9D37C592DA7}">
    <text xml:space="preserve">MP
</text>
  </threadedComment>
  <threadedComment ref="H271" dT="2026-08-25T05:41:22.25" personId="{C9498B0A-7831-41C1-A872-C921CE3FF9AC}" id="{AFB138A6-BD6D-48B5-9BFA-E600E57BBF71}">
    <text>MP</text>
  </threadedComment>
  <threadedComment ref="H291" dT="2026-09-01T05:39:26.23" personId="{C9498B0A-7831-41C1-A872-C921CE3FF9AC}" id="{36B380FC-FB54-4825-8FDE-B9982A786336}">
    <text xml:space="preserve">Mp
</text>
  </threadedComment>
  <threadedComment ref="Y323" dT="2026-09-07T05:24:49.04" personId="{C9498B0A-7831-41C1-A872-C921CE3FF9AC}" id="{DB6C58E4-C44C-436C-AD63-0819A37CAA42}">
    <text xml:space="preserve">Lep pod kuze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Q21" dT="2026-06-08T10:37:52.23" personId="{C9498B0A-7831-41C1-A872-C921CE3FF9AC}" id="{BBF0E998-337F-4F84-AF83-F6C0B2AABF4B}">
    <text xml:space="preserve">Oksana - 2.6.
</text>
  </threadedComment>
  <threadedComment ref="W23" dT="2026-06-09T10:39:36.79" personId="{C9498B0A-7831-41C1-A872-C921CE3FF9AC}" id="{54EC1706-E22A-4217-84DC-2E823269CF94}">
    <text>- poskozeny u WL</text>
  </threadedComment>
  <threadedComment ref="X23" dT="2026-06-09T11:15:21.67" personId="{C9498B0A-7831-41C1-A872-C921CE3FF9AC}" id="{7D7859C7-8080-45C1-91FC-7AC0E8B23B61}">
    <text>A zona</text>
  </threadedComment>
  <threadedComment ref="AW23" dT="2026-06-09T11:02:55.56" personId="{C9498B0A-7831-41C1-A872-C921CE3FF9AC}" id="{E19EE814-5AC5-4016-9B1A-1A4A31A75E63}">
    <text>Nastrih u WL</text>
  </threadedComment>
  <threadedComment ref="W24" dT="2026-06-09T11:07:21.00" personId="{C9498B0A-7831-41C1-A872-C921CE3FF9AC}" id="{486E25B1-0E4C-4DAA-8565-CE169E1D89A2}">
    <text>Nastrih u WL /behem laminace rohu</text>
  </threadedComment>
  <threadedComment ref="AW24" dT="2026-06-09T11:03:37.94" personId="{C9498B0A-7831-41C1-A872-C921CE3FF9AC}" id="{135E55AF-BC92-4F52-8A76-DDEB6DD23C27}">
    <text>Nastrih u WL</text>
  </threadedComment>
  <threadedComment ref="X36" dT="2026-06-12T10:59:01.01" personId="{C9498B0A-7831-41C1-A872-C921CE3FF9AC}" id="{D6E4AF62-EB88-4B08-B2E2-46EF8E79639F}">
    <text>FRT - zuzena cast A zony</text>
  </threadedComment>
  <threadedComment ref="AC36" dT="2026-06-12T10:47:04.39" personId="{C9498B0A-7831-41C1-A872-C921CE3FF9AC}" id="{603EDD98-F6A4-4E67-93CE-A7FF27E8C567}">
    <text>WL</text>
  </threadedComment>
  <threadedComment ref="AQ36" dT="2026-06-12T10:45:33.78" personId="{C9498B0A-7831-41C1-A872-C921CE3FF9AC}" id="{546C3589-DDB9-4ED4-9053-7505C077F035}">
    <text>Anna, Tatiana</text>
  </threadedComment>
  <threadedComment ref="X38" dT="2026-06-12T11:04:49.31" personId="{C9498B0A-7831-41C1-A872-C921CE3FF9AC}" id="{08D5FC55-5D4E-4015-BC4B-4103238F6BF0}">
    <text>Prefixovani kanalu kosti A zona FRT</text>
  </threadedComment>
  <threadedComment ref="H39" dT="2026-06-15T11:05:59.28" personId="{C9498B0A-7831-41C1-A872-C921CE3FF9AC}" id="{AF796137-5D2B-4E00-853D-E1565C05C5F1}">
    <text>mp</text>
  </threadedComment>
  <threadedComment ref="W39" dT="2026-06-15T10:52:51.01" personId="{C9498B0A-7831-41C1-A872-C921CE3FF9AC}" id="{C27BE868-82F9-4BA5-A991-C7B0F52F0400}">
    <text>Roztrzeny sev</text>
  </threadedComment>
  <threadedComment ref="AQ39" dT="2026-06-15T10:56:11.66" personId="{C9498B0A-7831-41C1-A872-C921CE3FF9AC}" id="{267DF044-9AF3-4ECF-A0DA-FC77D755588E}">
    <text>12.6.-Bihun</text>
  </threadedComment>
  <threadedComment ref="AQ47" dT="2026-06-17T10:50:29.96" personId="{C9498B0A-7831-41C1-A872-C921CE3FF9AC}" id="{CDD69D13-5534-423C-BAC9-9EA8BC071A0F}">
    <text>A zona
roh</text>
  </threadedComment>
  <threadedComment ref="Q54" dT="2026-06-22T10:48:03.34" personId="{C9498B0A-7831-41C1-A872-C921CE3FF9AC}" id="{14BAB7B3-C74D-445C-8B7B-AB497A544DC2}">
    <text>Pod AR</text>
  </threadedComment>
  <threadedComment ref="C59" dT="2026-06-23T11:06:08.88" personId="{C9498B0A-7831-41C1-A872-C921CE3FF9AC}" id="{1D60C9AF-545F-458B-BF59-B4266025DB2A}">
    <text>mp</text>
  </threadedComment>
  <threadedComment ref="AQ64" dT="2026-06-24T11:26:56.72" personId="{C9498B0A-7831-41C1-A872-C921CE3FF9AC}" id="{F88C7482-D912-4C06-9646-3EB1D9B099AD}">
    <text>Heat dent</text>
  </threadedComment>
  <threadedComment ref="W65" dT="2026-06-24T10:59:05.67" personId="{C9498B0A-7831-41C1-A872-C921CE3FF9AC}" id="{E1AB6EEE-9163-4F01-A9ED-7E38F283DEB4}">
    <text>Poskozeny sev hackem - znecisteni od lepidla</text>
  </threadedComment>
  <threadedComment ref="W83" dT="2026-06-29T11:08:34.75" personId="{C9498B0A-7831-41C1-A872-C921CE3FF9AC}" id="{E3399902-AC73-4F22-8CA0-50C804D51836}">
    <text>Barva A zona</text>
  </threadedComment>
  <threadedComment ref="AQ98" dT="2026-07-01T11:04:27.82" personId="{C9498B0A-7831-41C1-A872-C921CE3FF9AC}" id="{BF1360AB-6B47-4A47-9387-BD3704115F42}">
    <text>Dent A heat</text>
  </threadedComment>
  <threadedComment ref="U139" dT="2026-07-09T12:31:42.01" personId="{C9498B0A-7831-41C1-A872-C921CE3FF9AC}" id="{E8211508-0ACC-43BB-8A7E-D30017D67A89}">
    <text>1.7.,</text>
  </threadedComment>
  <threadedComment ref="W139" dT="2026-07-09T12:28:09.06" personId="{C9498B0A-7831-41C1-A872-C921CE3FF9AC}" id="{F2A5BBCC-FCD7-4C13-911C-7D73D6C630E5}">
    <text>Spalena kuze</text>
  </threadedComment>
  <threadedComment ref="AC139" dT="2026-07-09T13:07:07.58" personId="{C9498B0A-7831-41C1-A872-C921CE3FF9AC}" id="{83BC9A06-67F4-4D4F-9B0B-E5D63F1891C4}">
    <text>WL</text>
  </threadedComment>
  <threadedComment ref="AQ139" dT="2026-07-09T12:34:34.07" personId="{C9498B0A-7831-41C1-A872-C921CE3FF9AC}" id="{93D7F48D-881D-42C1-9407-CE6468265560}">
    <text>A zona, dent heat</text>
  </threadedComment>
  <threadedComment ref="AQ140" dT="2026-07-09T12:34:47.35" personId="{C9498B0A-7831-41C1-A872-C921CE3FF9AC}" id="{FDE12BEA-A44B-4011-B29B-BB164239F66A}">
    <text>Vyduch spacer vs.plast</text>
  </threadedComment>
  <threadedComment ref="U141" dT="2026-07-09T12:31:28.67" personId="{C9498B0A-7831-41C1-A872-C921CE3FF9AC}" id="{95A00D0D-A275-4245-A1D5-E71D0AF4160E}">
    <text>1.7.,11:30</text>
  </threadedComment>
  <threadedComment ref="AQ142" dT="2026-07-09T13:06:21.21" personId="{C9498B0A-7831-41C1-A872-C921CE3FF9AC}" id="{99C2A4F4-6E8E-48A2-889F-66811030917C}">
    <text>Dent A heat</text>
  </threadedComment>
  <threadedComment ref="U143" dT="2026-07-09T13:04:23.52" personId="{C9498B0A-7831-41C1-A872-C921CE3FF9AC}" id="{2BBD9DEC-CD0B-4720-9101-A7EF439C17FE}">
    <text>A zona</text>
  </threadedComment>
  <threadedComment ref="X143" dT="2026-07-09T13:15:36.33" personId="{C9498B0A-7831-41C1-A872-C921CE3FF9AC}" id="{3E9C4DFC-B01F-4D93-B713-DB2FDC22C092}">
    <text>WL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C785"/>
  <sheetViews>
    <sheetView zoomScale="81" zoomScaleNormal="70" workbookViewId="0">
      <pane xSplit="1" ySplit="5" topLeftCell="AE320" activePane="bottomRight" state="frozen"/>
      <selection pane="topRight" activeCell="AI1" sqref="AI1"/>
      <selection pane="bottomLeft" activeCell="A8" sqref="A8"/>
      <selection pane="bottomRight" activeCell="AU333" sqref="AU333"/>
    </sheetView>
  </sheetViews>
  <sheetFormatPr defaultColWidth="8.7109375" defaultRowHeight="15" x14ac:dyDescent="0.25"/>
  <cols>
    <col min="1" max="1" width="20" style="1" customWidth="1"/>
    <col min="2" max="5" width="14" style="1" customWidth="1"/>
    <col min="6" max="6" width="16.85546875" style="1" customWidth="1"/>
    <col min="7" max="48" width="14" style="1" customWidth="1"/>
    <col min="49" max="50" width="6" style="1" hidden="1" customWidth="1"/>
    <col min="51" max="51" width="25.42578125" customWidth="1"/>
    <col min="52" max="52" width="9.42578125" customWidth="1"/>
    <col min="53" max="53" width="14.85546875" bestFit="1" customWidth="1"/>
  </cols>
  <sheetData>
    <row r="1" spans="1:50" ht="27.75" customHeight="1" x14ac:dyDescent="0.25">
      <c r="A1" s="224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</row>
    <row r="2" spans="1:50" ht="21.75" customHeight="1" x14ac:dyDescent="0.25">
      <c r="A2" s="2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</row>
    <row r="3" spans="1:50" ht="19.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4" t="s">
        <v>47</v>
      </c>
      <c r="AU3" s="4" t="s">
        <v>48</v>
      </c>
      <c r="AV3" s="4" t="s">
        <v>49</v>
      </c>
      <c r="AW3" s="5" t="s">
        <v>50</v>
      </c>
      <c r="AX3" s="5" t="s">
        <v>51</v>
      </c>
    </row>
    <row r="4" spans="1:50" ht="48" customHeight="1" x14ac:dyDescent="0.25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6" t="s">
        <v>72</v>
      </c>
      <c r="V4" s="6" t="s">
        <v>73</v>
      </c>
      <c r="W4" s="6" t="s">
        <v>74</v>
      </c>
      <c r="X4" s="6" t="s">
        <v>75</v>
      </c>
      <c r="Y4" s="6" t="s">
        <v>76</v>
      </c>
      <c r="Z4" s="6" t="s">
        <v>77</v>
      </c>
      <c r="AA4" s="6" t="s">
        <v>78</v>
      </c>
      <c r="AB4" s="6" t="s">
        <v>79</v>
      </c>
      <c r="AC4" s="6" t="s">
        <v>80</v>
      </c>
      <c r="AD4" s="6" t="s">
        <v>81</v>
      </c>
      <c r="AE4" s="6" t="s">
        <v>82</v>
      </c>
      <c r="AF4" s="6" t="s">
        <v>83</v>
      </c>
      <c r="AG4" s="6" t="s">
        <v>84</v>
      </c>
      <c r="AH4" s="6" t="s">
        <v>85</v>
      </c>
      <c r="AI4" s="6" t="s">
        <v>86</v>
      </c>
      <c r="AJ4" s="6" t="s">
        <v>87</v>
      </c>
      <c r="AK4" s="6" t="s">
        <v>88</v>
      </c>
      <c r="AL4" s="6" t="s">
        <v>89</v>
      </c>
      <c r="AM4" s="6" t="s">
        <v>90</v>
      </c>
      <c r="AN4" s="6" t="s">
        <v>91</v>
      </c>
      <c r="AO4" s="6" t="s">
        <v>92</v>
      </c>
      <c r="AP4" s="6" t="s">
        <v>93</v>
      </c>
      <c r="AQ4" s="6" t="s">
        <v>94</v>
      </c>
      <c r="AR4" s="6" t="s">
        <v>95</v>
      </c>
      <c r="AS4" s="6" t="s">
        <v>96</v>
      </c>
      <c r="AT4" s="7" t="s">
        <v>97</v>
      </c>
      <c r="AU4" s="7" t="s">
        <v>98</v>
      </c>
      <c r="AV4" s="7" t="s">
        <v>99</v>
      </c>
      <c r="AW4" s="8" t="s">
        <v>100</v>
      </c>
      <c r="AX4" s="8" t="s">
        <v>101</v>
      </c>
    </row>
    <row r="5" spans="1:50" ht="18" customHeight="1" x14ac:dyDescent="0.25">
      <c r="A5" s="6" t="s">
        <v>102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10"/>
      <c r="AU5" s="10"/>
      <c r="AV5" s="10"/>
    </row>
    <row r="6" spans="1:50" ht="15.75" customHeight="1" x14ac:dyDescent="0.25">
      <c r="A6" s="11">
        <v>46174</v>
      </c>
      <c r="B6" s="12"/>
      <c r="C6" s="12"/>
      <c r="D6" s="12"/>
      <c r="E6" s="12"/>
      <c r="F6" s="13" t="s">
        <v>103</v>
      </c>
      <c r="G6" s="12"/>
      <c r="H6" s="13" t="s">
        <v>104</v>
      </c>
      <c r="I6" s="12"/>
      <c r="J6" s="12"/>
      <c r="K6" s="12"/>
      <c r="L6" s="12"/>
      <c r="M6" s="12"/>
      <c r="N6" s="12"/>
      <c r="O6" s="13" t="s">
        <v>105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20" t="s">
        <v>215</v>
      </c>
      <c r="AS6" s="12"/>
      <c r="AT6" s="116" t="s">
        <v>106</v>
      </c>
      <c r="AU6" s="116" t="s">
        <v>107</v>
      </c>
      <c r="AV6" s="12"/>
      <c r="AW6" s="14">
        <f t="shared" ref="AW6:AW37" si="0">IF(A6="","",IF(ISNUMBER(A6),MONTH(A6),IFERROR(VALUE(MID(A6,FIND(".",A6)+1,FIND(".",A6,FIND(".",A6)+1)-FIND(".",A6)-1)),"")))</f>
        <v>6</v>
      </c>
      <c r="AX6" s="14">
        <f t="shared" ref="AX6:AX37" si="1">IF(A6="","",IF(ISNUMBER(A6),YEAR(A6),IFERROR(VALUE(RIGHT(A6,4)),"")))</f>
        <v>2026</v>
      </c>
    </row>
    <row r="7" spans="1:50" ht="15.75" customHeight="1" x14ac:dyDescent="0.25">
      <c r="A7" s="11">
        <v>46174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17" t="s">
        <v>108</v>
      </c>
      <c r="AV7" s="15"/>
      <c r="AW7" s="14">
        <f t="shared" si="0"/>
        <v>6</v>
      </c>
      <c r="AX7" s="14">
        <f t="shared" si="1"/>
        <v>2026</v>
      </c>
    </row>
    <row r="8" spans="1:50" ht="15.75" customHeight="1" x14ac:dyDescent="0.25">
      <c r="A8" s="16">
        <v>46174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18" t="s">
        <v>108</v>
      </c>
      <c r="AV8" s="17"/>
      <c r="AW8" s="14">
        <f t="shared" si="0"/>
        <v>6</v>
      </c>
      <c r="AX8" s="14">
        <f t="shared" si="1"/>
        <v>2026</v>
      </c>
    </row>
    <row r="9" spans="1:50" s="13" customFormat="1" ht="15.75" customHeight="1" x14ac:dyDescent="0.25">
      <c r="A9" s="18">
        <v>46175</v>
      </c>
      <c r="B9" s="19" t="s">
        <v>109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 t="s">
        <v>110</v>
      </c>
      <c r="Q9" s="20"/>
      <c r="R9" s="20"/>
      <c r="S9" s="20"/>
      <c r="T9" s="20"/>
      <c r="U9" s="20"/>
      <c r="V9" s="20"/>
      <c r="W9" s="20"/>
      <c r="X9" s="20"/>
      <c r="Y9" s="20" t="s">
        <v>111</v>
      </c>
      <c r="Z9" s="20" t="s">
        <v>112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 t="s">
        <v>113</v>
      </c>
      <c r="AS9" s="20"/>
      <c r="AT9" s="20"/>
      <c r="AU9" s="119" t="s">
        <v>114</v>
      </c>
      <c r="AV9" s="119" t="s">
        <v>115</v>
      </c>
      <c r="AW9" s="21">
        <f t="shared" si="0"/>
        <v>6</v>
      </c>
      <c r="AX9" s="21">
        <f t="shared" si="1"/>
        <v>2026</v>
      </c>
    </row>
    <row r="10" spans="1:50" ht="15.75" customHeight="1" x14ac:dyDescent="0.25">
      <c r="A10" s="11">
        <v>46175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 t="s">
        <v>116</v>
      </c>
      <c r="Q10" s="12"/>
      <c r="R10" s="12"/>
      <c r="S10" s="12"/>
      <c r="T10" s="12"/>
      <c r="U10" s="12"/>
      <c r="V10" s="12"/>
      <c r="W10" s="12"/>
      <c r="X10" s="12"/>
      <c r="Y10" s="12"/>
      <c r="Z10" s="12" t="s">
        <v>117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16" t="s">
        <v>118</v>
      </c>
      <c r="AV10" s="116" t="s">
        <v>119</v>
      </c>
      <c r="AW10" s="14">
        <f t="shared" si="0"/>
        <v>6</v>
      </c>
      <c r="AX10" s="14">
        <f t="shared" si="1"/>
        <v>2026</v>
      </c>
    </row>
    <row r="11" spans="1:50" ht="15.75" customHeight="1" x14ac:dyDescent="0.25">
      <c r="A11" s="11">
        <v>46175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 t="s">
        <v>120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17" t="s">
        <v>121</v>
      </c>
      <c r="AW11" s="14">
        <f t="shared" si="0"/>
        <v>6</v>
      </c>
      <c r="AX11" s="14">
        <f t="shared" si="1"/>
        <v>2026</v>
      </c>
    </row>
    <row r="12" spans="1:50" ht="15.75" customHeight="1" x14ac:dyDescent="0.25">
      <c r="A12" s="11">
        <v>46175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6" t="s">
        <v>122</v>
      </c>
      <c r="AW12" s="14">
        <f t="shared" si="0"/>
        <v>6</v>
      </c>
      <c r="AX12" s="14">
        <f t="shared" si="1"/>
        <v>2026</v>
      </c>
    </row>
    <row r="13" spans="1:50" s="23" customFormat="1" ht="15.75" customHeight="1" x14ac:dyDescent="0.25">
      <c r="A13" s="11">
        <v>46175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17" t="s">
        <v>123</v>
      </c>
      <c r="AW13" s="22">
        <f t="shared" si="0"/>
        <v>6</v>
      </c>
      <c r="AX13" s="22">
        <f t="shared" si="1"/>
        <v>2026</v>
      </c>
    </row>
    <row r="14" spans="1:50" s="27" customFormat="1" ht="15.75" customHeight="1" x14ac:dyDescent="0.25">
      <c r="A14" s="24">
        <v>46175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120" t="s">
        <v>124</v>
      </c>
      <c r="AW14" s="26">
        <f t="shared" si="0"/>
        <v>6</v>
      </c>
      <c r="AX14" s="26">
        <f t="shared" si="1"/>
        <v>2026</v>
      </c>
    </row>
    <row r="15" spans="1:50" ht="15.75" customHeight="1" x14ac:dyDescent="0.25">
      <c r="A15" s="28">
        <v>46176</v>
      </c>
      <c r="B15" s="12" t="s">
        <v>125</v>
      </c>
      <c r="C15" s="29"/>
      <c r="D15" s="29"/>
      <c r="E15" s="12" t="s">
        <v>126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 t="s">
        <v>127</v>
      </c>
      <c r="Q15" s="29"/>
      <c r="R15" s="29"/>
      <c r="S15" s="29"/>
      <c r="T15" s="29"/>
      <c r="U15" s="29"/>
      <c r="V15" s="29"/>
      <c r="W15" s="29"/>
      <c r="X15" s="29"/>
      <c r="Y15" s="29"/>
      <c r="Z15" s="29" t="s">
        <v>128</v>
      </c>
      <c r="AA15" s="29"/>
      <c r="AB15" s="29"/>
      <c r="AC15" s="29"/>
      <c r="AD15" s="29"/>
      <c r="AE15" s="29"/>
      <c r="AF15" s="29" t="s">
        <v>129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121" t="s">
        <v>130</v>
      </c>
      <c r="AU15" s="121" t="s">
        <v>131</v>
      </c>
      <c r="AV15" s="121" t="s">
        <v>132</v>
      </c>
      <c r="AW15" s="14">
        <f t="shared" si="0"/>
        <v>6</v>
      </c>
      <c r="AX15" s="14">
        <f t="shared" si="1"/>
        <v>2026</v>
      </c>
    </row>
    <row r="16" spans="1:50" ht="15.75" customHeight="1" x14ac:dyDescent="0.25">
      <c r="A16" s="11">
        <v>46176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 t="s">
        <v>133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16" t="s">
        <v>134</v>
      </c>
      <c r="AU16" s="116" t="s">
        <v>135</v>
      </c>
      <c r="AV16" s="12"/>
      <c r="AW16" s="14">
        <f t="shared" si="0"/>
        <v>6</v>
      </c>
      <c r="AX16" s="14">
        <f t="shared" si="1"/>
        <v>2026</v>
      </c>
    </row>
    <row r="17" spans="1:50" ht="15.75" customHeight="1" x14ac:dyDescent="0.25">
      <c r="A17" s="11">
        <v>46176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17" t="s">
        <v>136</v>
      </c>
      <c r="AU17" s="117" t="s">
        <v>137</v>
      </c>
      <c r="AV17" s="15"/>
      <c r="AW17" s="14">
        <f t="shared" si="0"/>
        <v>6</v>
      </c>
      <c r="AX17" s="14">
        <f t="shared" si="1"/>
        <v>2026</v>
      </c>
    </row>
    <row r="18" spans="1:50" s="27" customFormat="1" ht="15.75" customHeight="1" x14ac:dyDescent="0.25">
      <c r="A18" s="16">
        <v>46176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18" t="s">
        <v>138</v>
      </c>
      <c r="AV18" s="17"/>
      <c r="AW18" s="26">
        <f t="shared" si="0"/>
        <v>6</v>
      </c>
      <c r="AX18" s="26">
        <f t="shared" si="1"/>
        <v>2026</v>
      </c>
    </row>
    <row r="19" spans="1:50" ht="15.75" customHeight="1" x14ac:dyDescent="0.25">
      <c r="A19" s="30">
        <v>46177</v>
      </c>
      <c r="B19" s="20"/>
      <c r="C19" s="20" t="s">
        <v>139</v>
      </c>
      <c r="D19" s="20"/>
      <c r="E19" s="20"/>
      <c r="F19" s="20" t="s">
        <v>140</v>
      </c>
      <c r="G19" s="20"/>
      <c r="H19" s="20"/>
      <c r="I19" s="20"/>
      <c r="J19" s="20" t="s">
        <v>141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 t="s">
        <v>142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119" t="s">
        <v>143</v>
      </c>
      <c r="AU19" s="119" t="s">
        <v>144</v>
      </c>
      <c r="AV19" s="123" t="s">
        <v>145</v>
      </c>
      <c r="AW19" s="14">
        <f t="shared" si="0"/>
        <v>6</v>
      </c>
      <c r="AX19" s="14">
        <f t="shared" si="1"/>
        <v>2026</v>
      </c>
    </row>
    <row r="20" spans="1:50" ht="15.75" customHeight="1" x14ac:dyDescent="0.25">
      <c r="A20" s="31">
        <v>46177</v>
      </c>
      <c r="B20" s="12"/>
      <c r="C20" s="12"/>
      <c r="D20" s="12"/>
      <c r="E20" s="12"/>
      <c r="F20" s="12" t="s">
        <v>146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16" t="s">
        <v>147</v>
      </c>
      <c r="AV20" s="32"/>
      <c r="AW20" s="14">
        <f t="shared" si="0"/>
        <v>6</v>
      </c>
      <c r="AX20" s="14">
        <f t="shared" si="1"/>
        <v>2026</v>
      </c>
    </row>
    <row r="21" spans="1:50" ht="15.75" customHeight="1" x14ac:dyDescent="0.25">
      <c r="A21" s="31">
        <v>46177</v>
      </c>
      <c r="B21" s="15"/>
      <c r="C21" s="15"/>
      <c r="D21" s="15"/>
      <c r="E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17" t="s">
        <v>148</v>
      </c>
      <c r="AV21" s="33"/>
      <c r="AW21" s="14">
        <f t="shared" si="0"/>
        <v>6</v>
      </c>
      <c r="AX21" s="14">
        <f t="shared" si="1"/>
        <v>2026</v>
      </c>
    </row>
    <row r="22" spans="1:50" ht="15.75" customHeight="1" x14ac:dyDescent="0.25">
      <c r="A22" s="31">
        <v>46177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16" t="s">
        <v>149</v>
      </c>
      <c r="AV22" s="32"/>
      <c r="AW22" s="14">
        <f t="shared" si="0"/>
        <v>6</v>
      </c>
      <c r="AX22" s="14">
        <f t="shared" si="1"/>
        <v>2026</v>
      </c>
    </row>
    <row r="23" spans="1:50" ht="15.75" customHeight="1" x14ac:dyDescent="0.25">
      <c r="A23" s="31">
        <v>46177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17" t="s">
        <v>150</v>
      </c>
      <c r="AV23" s="33"/>
      <c r="AW23" s="14">
        <f t="shared" si="0"/>
        <v>6</v>
      </c>
      <c r="AX23" s="14">
        <f t="shared" si="1"/>
        <v>2026</v>
      </c>
    </row>
    <row r="24" spans="1:50" ht="15.75" customHeight="1" x14ac:dyDescent="0.25">
      <c r="A24" s="31">
        <v>46177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16" t="s">
        <v>151</v>
      </c>
      <c r="AV24" s="32"/>
      <c r="AW24" s="14">
        <f t="shared" si="0"/>
        <v>6</v>
      </c>
      <c r="AX24" s="14">
        <f t="shared" si="1"/>
        <v>2026</v>
      </c>
    </row>
    <row r="25" spans="1:50" ht="15.75" customHeight="1" x14ac:dyDescent="0.25">
      <c r="A25" s="34">
        <v>46177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122" t="s">
        <v>152</v>
      </c>
      <c r="AV25" s="36"/>
      <c r="AW25" s="14">
        <f t="shared" si="0"/>
        <v>6</v>
      </c>
      <c r="AX25" s="14">
        <f t="shared" si="1"/>
        <v>2026</v>
      </c>
    </row>
    <row r="26" spans="1:50" ht="15.75" customHeight="1" x14ac:dyDescent="0.25">
      <c r="A26" s="28">
        <v>46178</v>
      </c>
      <c r="B26" s="37" t="s">
        <v>386</v>
      </c>
      <c r="C26" s="37" t="s">
        <v>388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 t="s">
        <v>387</v>
      </c>
      <c r="Q26" s="37"/>
      <c r="R26" s="37"/>
      <c r="S26" s="37"/>
      <c r="T26" s="37"/>
      <c r="U26" s="37"/>
      <c r="V26" s="37"/>
      <c r="W26" s="37"/>
      <c r="X26" s="37"/>
      <c r="Y26" s="37"/>
      <c r="Z26" s="37" t="s">
        <v>384</v>
      </c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 t="s">
        <v>395</v>
      </c>
      <c r="AS26" s="37"/>
      <c r="AT26" s="124" t="s">
        <v>398</v>
      </c>
      <c r="AU26" s="124" t="s">
        <v>383</v>
      </c>
      <c r="AV26" s="124" t="s">
        <v>391</v>
      </c>
      <c r="AW26" s="14">
        <f t="shared" si="0"/>
        <v>6</v>
      </c>
      <c r="AX26" s="14">
        <f t="shared" si="1"/>
        <v>2026</v>
      </c>
    </row>
    <row r="27" spans="1:50" ht="15.75" customHeight="1" x14ac:dyDescent="0.25">
      <c r="A27" s="11">
        <v>46178</v>
      </c>
      <c r="B27" s="15" t="s">
        <v>392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 t="s">
        <v>389</v>
      </c>
      <c r="Q27" s="15"/>
      <c r="R27" s="15"/>
      <c r="S27" s="15"/>
      <c r="T27" s="15"/>
      <c r="U27" s="15"/>
      <c r="V27" s="15"/>
      <c r="W27" s="15"/>
      <c r="X27" s="15"/>
      <c r="Y27" s="15"/>
      <c r="Z27" s="15" t="s">
        <v>399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17" t="s">
        <v>402</v>
      </c>
      <c r="AU27" s="117" t="s">
        <v>385</v>
      </c>
      <c r="AV27" s="117" t="s">
        <v>396</v>
      </c>
      <c r="AW27" s="14">
        <f t="shared" si="0"/>
        <v>6</v>
      </c>
      <c r="AX27" s="14">
        <f t="shared" si="1"/>
        <v>2026</v>
      </c>
    </row>
    <row r="28" spans="1:50" ht="15.75" customHeight="1" x14ac:dyDescent="0.25">
      <c r="A28" s="11">
        <v>46178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 t="s">
        <v>390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16" t="s">
        <v>393</v>
      </c>
      <c r="AV28" s="116" t="s">
        <v>400</v>
      </c>
      <c r="AW28" s="14">
        <f t="shared" si="0"/>
        <v>6</v>
      </c>
      <c r="AX28" s="14">
        <f t="shared" si="1"/>
        <v>2026</v>
      </c>
    </row>
    <row r="29" spans="1:50" ht="15.75" customHeight="1" x14ac:dyDescent="0.25">
      <c r="A29" s="11">
        <v>46178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 t="s">
        <v>404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17" t="s">
        <v>394</v>
      </c>
      <c r="AV29" s="117" t="s">
        <v>401</v>
      </c>
      <c r="AW29" s="14">
        <f t="shared" si="0"/>
        <v>6</v>
      </c>
      <c r="AX29" s="14">
        <f t="shared" si="1"/>
        <v>2026</v>
      </c>
    </row>
    <row r="30" spans="1:50" s="103" customFormat="1" ht="15.75" customHeight="1" thickBot="1" x14ac:dyDescent="0.3">
      <c r="A30" s="101">
        <v>46178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25" t="s">
        <v>397</v>
      </c>
      <c r="AV30" s="125" t="s">
        <v>403</v>
      </c>
      <c r="AW30" s="26">
        <f t="shared" si="0"/>
        <v>6</v>
      </c>
      <c r="AX30" s="26">
        <f t="shared" si="1"/>
        <v>2026</v>
      </c>
    </row>
    <row r="31" spans="1:50" ht="15.75" customHeight="1" x14ac:dyDescent="0.25">
      <c r="A31" s="28">
        <v>46181</v>
      </c>
      <c r="B31" s="29"/>
      <c r="C31" s="29" t="s">
        <v>418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 t="s">
        <v>423</v>
      </c>
      <c r="Z31" s="29" t="s">
        <v>417</v>
      </c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121" t="s">
        <v>414</v>
      </c>
      <c r="AV31" s="121" t="s">
        <v>419</v>
      </c>
      <c r="AW31" s="14">
        <f t="shared" si="0"/>
        <v>6</v>
      </c>
      <c r="AX31" s="14">
        <f t="shared" si="1"/>
        <v>2026</v>
      </c>
    </row>
    <row r="32" spans="1:50" ht="15.75" customHeight="1" x14ac:dyDescent="0.25">
      <c r="A32" s="28">
        <v>46181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 t="s">
        <v>245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16" t="s">
        <v>415</v>
      </c>
      <c r="AV32" s="12"/>
      <c r="AW32" s="14">
        <f t="shared" si="0"/>
        <v>6</v>
      </c>
      <c r="AX32" s="14">
        <f t="shared" si="1"/>
        <v>2026</v>
      </c>
    </row>
    <row r="33" spans="1:50" ht="15.75" customHeight="1" x14ac:dyDescent="0.25">
      <c r="A33" s="28">
        <v>46181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17" t="s">
        <v>416</v>
      </c>
      <c r="AV33" s="15"/>
      <c r="AW33" s="14">
        <f t="shared" si="0"/>
        <v>6</v>
      </c>
      <c r="AX33" s="14">
        <f t="shared" si="1"/>
        <v>2026</v>
      </c>
    </row>
    <row r="34" spans="1:50" ht="15.75" customHeight="1" x14ac:dyDescent="0.25">
      <c r="A34" s="28">
        <v>46181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16" t="s">
        <v>420</v>
      </c>
      <c r="AV34" s="12"/>
      <c r="AW34" s="14">
        <f t="shared" si="0"/>
        <v>6</v>
      </c>
      <c r="AX34" s="14">
        <f t="shared" si="1"/>
        <v>2026</v>
      </c>
    </row>
    <row r="35" spans="1:50" ht="15.75" customHeight="1" x14ac:dyDescent="0.25">
      <c r="A35" s="28">
        <v>46181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17" t="s">
        <v>421</v>
      </c>
      <c r="AV35" s="15"/>
      <c r="AW35" s="14">
        <f t="shared" si="0"/>
        <v>6</v>
      </c>
      <c r="AX35" s="14">
        <f t="shared" si="1"/>
        <v>2026</v>
      </c>
    </row>
    <row r="36" spans="1:50" s="103" customFormat="1" ht="15.75" customHeight="1" thickBot="1" x14ac:dyDescent="0.3">
      <c r="A36" s="24">
        <v>46181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25" t="s">
        <v>422</v>
      </c>
      <c r="AV36" s="102"/>
      <c r="AW36" s="26">
        <f t="shared" si="0"/>
        <v>6</v>
      </c>
      <c r="AX36" s="26">
        <f t="shared" si="1"/>
        <v>2026</v>
      </c>
    </row>
    <row r="37" spans="1:50" ht="15.75" customHeight="1" x14ac:dyDescent="0.25">
      <c r="A37" s="28">
        <v>46182</v>
      </c>
      <c r="B37" s="29" t="s">
        <v>439</v>
      </c>
      <c r="C37" s="29" t="s">
        <v>440</v>
      </c>
      <c r="D37" s="29"/>
      <c r="E37" s="29" t="s">
        <v>442</v>
      </c>
      <c r="F37" s="29" t="s">
        <v>441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 t="s">
        <v>450</v>
      </c>
      <c r="Z37" s="29" t="s">
        <v>449</v>
      </c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121" t="s">
        <v>438</v>
      </c>
      <c r="AV37" s="121" t="s">
        <v>446</v>
      </c>
      <c r="AW37" s="14">
        <f t="shared" si="0"/>
        <v>6</v>
      </c>
      <c r="AX37" s="14">
        <f t="shared" si="1"/>
        <v>2026</v>
      </c>
    </row>
    <row r="38" spans="1:50" ht="15.75" customHeight="1" x14ac:dyDescent="0.25">
      <c r="A38" s="11">
        <v>46182</v>
      </c>
      <c r="B38" s="12" t="s">
        <v>444</v>
      </c>
      <c r="C38" s="12"/>
      <c r="D38" s="12"/>
      <c r="E38" s="12" t="s">
        <v>453</v>
      </c>
      <c r="F38" s="12" t="s">
        <v>456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16" t="s">
        <v>443</v>
      </c>
      <c r="AV38" s="116" t="s">
        <v>448</v>
      </c>
      <c r="AW38" s="14">
        <f t="shared" ref="AW38:AW69" si="2">IF(A38="","",IF(ISNUMBER(A38),MONTH(A38),IFERROR(VALUE(MID(A38,FIND(".",A38)+1,FIND(".",A38,FIND(".",A38)+1)-FIND(".",A38)-1)),"")))</f>
        <v>6</v>
      </c>
      <c r="AX38" s="14">
        <f t="shared" ref="AX38:AX69" si="3">IF(A38="","",IF(ISNUMBER(A38),YEAR(A38),IFERROR(VALUE(RIGHT(A38,4)),"")))</f>
        <v>2026</v>
      </c>
    </row>
    <row r="39" spans="1:50" ht="15.75" customHeight="1" x14ac:dyDescent="0.25">
      <c r="A39" s="11">
        <v>46182</v>
      </c>
      <c r="B39" s="15" t="s">
        <v>454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17" t="s">
        <v>445</v>
      </c>
      <c r="AV39" s="117" t="s">
        <v>451</v>
      </c>
      <c r="AW39" s="14">
        <f t="shared" si="2"/>
        <v>6</v>
      </c>
      <c r="AX39" s="14">
        <f t="shared" si="3"/>
        <v>2026</v>
      </c>
    </row>
    <row r="40" spans="1:50" ht="15.75" customHeight="1" x14ac:dyDescent="0.25">
      <c r="A40" s="11">
        <v>46182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16" t="s">
        <v>447</v>
      </c>
      <c r="AV40" s="116" t="s">
        <v>452</v>
      </c>
      <c r="AW40" s="14">
        <f t="shared" si="2"/>
        <v>6</v>
      </c>
      <c r="AX40" s="14">
        <f t="shared" si="3"/>
        <v>2026</v>
      </c>
    </row>
    <row r="41" spans="1:50" ht="15.75" customHeight="1" x14ac:dyDescent="0.25">
      <c r="A41" s="11">
        <v>46182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17" t="s">
        <v>455</v>
      </c>
      <c r="AV41" s="117" t="s">
        <v>457</v>
      </c>
      <c r="AW41" s="14">
        <f t="shared" si="2"/>
        <v>6</v>
      </c>
      <c r="AX41" s="14">
        <f t="shared" si="3"/>
        <v>2026</v>
      </c>
    </row>
    <row r="42" spans="1:50" ht="15.75" customHeight="1" thickBot="1" x14ac:dyDescent="0.3">
      <c r="A42" s="16">
        <v>46182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18" t="s">
        <v>458</v>
      </c>
      <c r="AW42" s="14">
        <f t="shared" si="2"/>
        <v>6</v>
      </c>
      <c r="AX42" s="14">
        <f t="shared" si="3"/>
        <v>2026</v>
      </c>
    </row>
    <row r="43" spans="1:50" s="105" customFormat="1" ht="15.75" customHeight="1" x14ac:dyDescent="0.25">
      <c r="A43" s="18">
        <v>46183</v>
      </c>
      <c r="B43" s="20" t="s">
        <v>490</v>
      </c>
      <c r="C43" s="20" t="s">
        <v>489</v>
      </c>
      <c r="D43" s="20"/>
      <c r="E43" s="20"/>
      <c r="F43" s="20" t="s">
        <v>485</v>
      </c>
      <c r="G43" s="20" t="s">
        <v>495</v>
      </c>
      <c r="H43" s="20"/>
      <c r="I43" s="20"/>
      <c r="J43" s="20" t="s">
        <v>498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491</v>
      </c>
      <c r="Z43" s="20" t="s">
        <v>482</v>
      </c>
      <c r="AA43" s="20"/>
      <c r="AB43" s="20"/>
      <c r="AC43" s="20"/>
      <c r="AD43" s="20"/>
      <c r="AE43" s="20"/>
      <c r="AF43" s="20" t="s">
        <v>494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119" t="s">
        <v>483</v>
      </c>
      <c r="AV43" s="119" t="s">
        <v>496</v>
      </c>
      <c r="AW43" s="104">
        <f t="shared" si="2"/>
        <v>6</v>
      </c>
      <c r="AX43" s="104">
        <f t="shared" si="3"/>
        <v>2026</v>
      </c>
    </row>
    <row r="44" spans="1:50" ht="15.75" customHeight="1" x14ac:dyDescent="0.25">
      <c r="A44" s="11">
        <v>46183</v>
      </c>
      <c r="B44" s="12" t="s">
        <v>493</v>
      </c>
      <c r="C44" s="12" t="s">
        <v>492</v>
      </c>
      <c r="D44" s="12"/>
      <c r="E44" s="12"/>
      <c r="F44" s="12" t="s">
        <v>499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 t="s">
        <v>497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16" t="s">
        <v>484</v>
      </c>
      <c r="AV44" s="12"/>
      <c r="AW44" s="14">
        <f t="shared" si="2"/>
        <v>6</v>
      </c>
      <c r="AX44" s="14">
        <f t="shared" si="3"/>
        <v>2026</v>
      </c>
    </row>
    <row r="45" spans="1:50" ht="15.75" customHeight="1" x14ac:dyDescent="0.25">
      <c r="A45" s="11">
        <v>46183</v>
      </c>
      <c r="B45" s="15" t="s">
        <v>500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2" t="s">
        <v>504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17" t="s">
        <v>486</v>
      </c>
      <c r="AV45" s="15"/>
      <c r="AW45" s="14">
        <f t="shared" si="2"/>
        <v>6</v>
      </c>
      <c r="AX45" s="14">
        <f t="shared" si="3"/>
        <v>2026</v>
      </c>
    </row>
    <row r="46" spans="1:50" ht="15.75" customHeight="1" x14ac:dyDescent="0.25">
      <c r="A46" s="11">
        <v>46183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16" t="s">
        <v>487</v>
      </c>
      <c r="AV46" s="12"/>
      <c r="AW46" s="14">
        <f t="shared" si="2"/>
        <v>6</v>
      </c>
      <c r="AX46" s="14">
        <f t="shared" si="3"/>
        <v>2026</v>
      </c>
    </row>
    <row r="47" spans="1:50" ht="15.75" customHeight="1" x14ac:dyDescent="0.25">
      <c r="A47" s="11">
        <v>46183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17" t="s">
        <v>488</v>
      </c>
      <c r="AV47" s="15"/>
      <c r="AW47" s="14">
        <f t="shared" si="2"/>
        <v>6</v>
      </c>
      <c r="AX47" s="14">
        <f t="shared" si="3"/>
        <v>2026</v>
      </c>
    </row>
    <row r="48" spans="1:50" ht="15.75" customHeight="1" x14ac:dyDescent="0.25">
      <c r="A48" s="11">
        <v>46183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16" t="s">
        <v>501</v>
      </c>
      <c r="AV48" s="12"/>
      <c r="AW48" s="14">
        <f t="shared" si="2"/>
        <v>6</v>
      </c>
      <c r="AX48" s="14">
        <f t="shared" si="3"/>
        <v>2026</v>
      </c>
    </row>
    <row r="49" spans="1:50" ht="15.75" customHeight="1" x14ac:dyDescent="0.25">
      <c r="A49" s="11">
        <v>46183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17" t="s">
        <v>502</v>
      </c>
      <c r="AV49" s="15"/>
      <c r="AW49" s="14">
        <f t="shared" si="2"/>
        <v>6</v>
      </c>
      <c r="AX49" s="14">
        <f t="shared" si="3"/>
        <v>2026</v>
      </c>
    </row>
    <row r="50" spans="1:50" ht="15.75" customHeight="1" x14ac:dyDescent="0.25">
      <c r="A50" s="11">
        <v>46183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16" t="s">
        <v>503</v>
      </c>
      <c r="AV50" s="12"/>
      <c r="AW50" s="14">
        <f t="shared" si="2"/>
        <v>6</v>
      </c>
      <c r="AX50" s="14">
        <f t="shared" si="3"/>
        <v>2026</v>
      </c>
    </row>
    <row r="51" spans="1:50" s="103" customFormat="1" ht="15.75" customHeight="1" thickBot="1" x14ac:dyDescent="0.3">
      <c r="A51" s="101">
        <v>46183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50" t="s">
        <v>505</v>
      </c>
      <c r="AV51" s="126"/>
      <c r="AW51" s="26">
        <f t="shared" si="2"/>
        <v>6</v>
      </c>
      <c r="AX51" s="26">
        <f t="shared" si="3"/>
        <v>2026</v>
      </c>
    </row>
    <row r="52" spans="1:50" ht="15.75" customHeight="1" x14ac:dyDescent="0.25">
      <c r="A52" s="28">
        <v>46184</v>
      </c>
      <c r="B52" s="37" t="s">
        <v>541</v>
      </c>
      <c r="C52" s="37" t="s">
        <v>546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 t="s">
        <v>533</v>
      </c>
      <c r="Z52" s="37" t="s">
        <v>542</v>
      </c>
      <c r="AA52" s="37"/>
      <c r="AB52" s="37"/>
      <c r="AC52" s="37"/>
      <c r="AD52" s="37"/>
      <c r="AE52" s="37"/>
      <c r="AF52" s="37"/>
      <c r="AG52" s="37"/>
      <c r="AH52" s="37"/>
      <c r="AI52" s="37" t="s">
        <v>537</v>
      </c>
      <c r="AJ52" s="37"/>
      <c r="AK52" s="37"/>
      <c r="AL52" s="37"/>
      <c r="AM52" s="37"/>
      <c r="AN52" s="37"/>
      <c r="AO52" s="37"/>
      <c r="AP52" s="37" t="s">
        <v>548</v>
      </c>
      <c r="AQ52" s="37"/>
      <c r="AR52" s="37" t="s">
        <v>534</v>
      </c>
      <c r="AS52" s="37"/>
      <c r="AT52" s="124" t="s">
        <v>544</v>
      </c>
      <c r="AU52" s="124" t="s">
        <v>538</v>
      </c>
      <c r="AV52" s="37"/>
      <c r="AW52" s="14">
        <f t="shared" si="2"/>
        <v>6</v>
      </c>
      <c r="AX52" s="14">
        <f t="shared" si="3"/>
        <v>2026</v>
      </c>
    </row>
    <row r="53" spans="1:50" ht="15.75" customHeight="1" x14ac:dyDescent="0.25">
      <c r="A53" s="11">
        <v>46184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 t="s">
        <v>535</v>
      </c>
      <c r="Z53" s="15" t="s">
        <v>537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 t="s">
        <v>536</v>
      </c>
      <c r="AS53" s="15"/>
      <c r="AT53" s="15"/>
      <c r="AU53" s="117" t="s">
        <v>539</v>
      </c>
      <c r="AV53" s="15"/>
      <c r="AW53" s="14">
        <f t="shared" si="2"/>
        <v>6</v>
      </c>
      <c r="AX53" s="14">
        <f t="shared" si="3"/>
        <v>2026</v>
      </c>
    </row>
    <row r="54" spans="1:50" ht="15.75" customHeight="1" x14ac:dyDescent="0.25">
      <c r="A54" s="11">
        <v>46184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16" t="s">
        <v>540</v>
      </c>
      <c r="AV54" s="12"/>
      <c r="AW54" s="14">
        <f t="shared" si="2"/>
        <v>6</v>
      </c>
      <c r="AX54" s="14">
        <f t="shared" si="3"/>
        <v>2026</v>
      </c>
    </row>
    <row r="55" spans="1:50" ht="15.75" customHeight="1" x14ac:dyDescent="0.25">
      <c r="A55" s="11">
        <v>46184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17" t="s">
        <v>543</v>
      </c>
      <c r="AV55" s="15"/>
      <c r="AW55" s="14">
        <f t="shared" si="2"/>
        <v>6</v>
      </c>
      <c r="AX55" s="14">
        <f t="shared" si="3"/>
        <v>2026</v>
      </c>
    </row>
    <row r="56" spans="1:50" ht="15.75" customHeight="1" x14ac:dyDescent="0.25">
      <c r="A56" s="11">
        <v>46184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16" t="s">
        <v>545</v>
      </c>
      <c r="AV56" s="12"/>
      <c r="AW56" s="14">
        <f t="shared" si="2"/>
        <v>6</v>
      </c>
      <c r="AX56" s="14">
        <f t="shared" si="3"/>
        <v>2026</v>
      </c>
    </row>
    <row r="57" spans="1:50" ht="15.75" customHeight="1" x14ac:dyDescent="0.25">
      <c r="A57" s="11">
        <v>46184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17" t="s">
        <v>547</v>
      </c>
      <c r="AV57" s="15"/>
      <c r="AW57" s="14">
        <f t="shared" si="2"/>
        <v>6</v>
      </c>
      <c r="AX57" s="14">
        <f t="shared" si="3"/>
        <v>2026</v>
      </c>
    </row>
    <row r="58" spans="1:50" ht="15.75" customHeight="1" x14ac:dyDescent="0.25">
      <c r="A58" s="11">
        <v>46184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16" t="s">
        <v>549</v>
      </c>
      <c r="AV58" s="12"/>
      <c r="AW58" s="14">
        <f t="shared" si="2"/>
        <v>6</v>
      </c>
      <c r="AX58" s="14">
        <f t="shared" si="3"/>
        <v>2026</v>
      </c>
    </row>
    <row r="59" spans="1:50" ht="15.75" customHeight="1" x14ac:dyDescent="0.25">
      <c r="A59" s="11">
        <v>46184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17" t="s">
        <v>550</v>
      </c>
      <c r="AV59" s="15"/>
      <c r="AW59" s="14">
        <f t="shared" si="2"/>
        <v>6</v>
      </c>
      <c r="AX59" s="14">
        <f t="shared" si="3"/>
        <v>2026</v>
      </c>
    </row>
    <row r="60" spans="1:50" ht="15.75" customHeight="1" thickBot="1" x14ac:dyDescent="0.3">
      <c r="A60" s="16">
        <v>46184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18" t="s">
        <v>551</v>
      </c>
      <c r="AV60" s="17"/>
      <c r="AW60" s="14">
        <f t="shared" si="2"/>
        <v>6</v>
      </c>
      <c r="AX60" s="14">
        <f t="shared" si="3"/>
        <v>2026</v>
      </c>
    </row>
    <row r="61" spans="1:50" s="105" customFormat="1" ht="15.75" customHeight="1" x14ac:dyDescent="0.25">
      <c r="A61" s="18">
        <v>46185</v>
      </c>
      <c r="B61" s="20" t="s">
        <v>562</v>
      </c>
      <c r="C61" s="20"/>
      <c r="D61" s="20"/>
      <c r="E61" s="20"/>
      <c r="F61" s="20"/>
      <c r="G61" s="20" t="s">
        <v>563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569</v>
      </c>
      <c r="Z61" s="20" t="s">
        <v>558</v>
      </c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557</v>
      </c>
      <c r="AP61" s="20"/>
      <c r="AQ61" s="20"/>
      <c r="AR61" s="20" t="s">
        <v>564</v>
      </c>
      <c r="AS61" s="20"/>
      <c r="AT61" s="119" t="s">
        <v>559</v>
      </c>
      <c r="AU61" s="119" t="s">
        <v>560</v>
      </c>
      <c r="AV61" s="119" t="s">
        <v>561</v>
      </c>
      <c r="AW61" s="104">
        <f t="shared" si="2"/>
        <v>6</v>
      </c>
      <c r="AX61" s="104">
        <f t="shared" si="3"/>
        <v>2026</v>
      </c>
    </row>
    <row r="62" spans="1:50" ht="15.75" customHeight="1" x14ac:dyDescent="0.25">
      <c r="A62" s="11">
        <v>46185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 t="s">
        <v>568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16" t="s">
        <v>565</v>
      </c>
      <c r="AV62" s="116" t="s">
        <v>567</v>
      </c>
      <c r="AW62" s="14">
        <f t="shared" si="2"/>
        <v>6</v>
      </c>
      <c r="AX62" s="14">
        <f t="shared" si="3"/>
        <v>2026</v>
      </c>
    </row>
    <row r="63" spans="1:50" ht="15.75" customHeight="1" x14ac:dyDescent="0.25">
      <c r="A63" s="11">
        <v>46185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17" t="s">
        <v>566</v>
      </c>
      <c r="AV63" s="15"/>
      <c r="AW63" s="14">
        <f t="shared" si="2"/>
        <v>6</v>
      </c>
      <c r="AX63" s="14">
        <f t="shared" si="3"/>
        <v>2026</v>
      </c>
    </row>
    <row r="64" spans="1:50" ht="15.75" customHeight="1" thickBot="1" x14ac:dyDescent="0.3">
      <c r="A64" s="16">
        <v>46185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18" t="s">
        <v>570</v>
      </c>
      <c r="AV64" s="17"/>
      <c r="AW64" s="14">
        <f t="shared" si="2"/>
        <v>6</v>
      </c>
      <c r="AX64" s="14">
        <f t="shared" si="3"/>
        <v>2026</v>
      </c>
    </row>
    <row r="65" spans="1:50" s="105" customFormat="1" ht="15.75" customHeight="1" x14ac:dyDescent="0.25">
      <c r="A65" s="18">
        <v>46188</v>
      </c>
      <c r="B65" s="20" t="s">
        <v>585</v>
      </c>
      <c r="C65" s="20"/>
      <c r="D65" s="20"/>
      <c r="E65" s="20"/>
      <c r="F65" s="20" t="s">
        <v>590</v>
      </c>
      <c r="G65" s="20"/>
      <c r="H65" s="20"/>
      <c r="I65" s="20"/>
      <c r="J65" s="20"/>
      <c r="K65" s="20"/>
      <c r="L65" s="20"/>
      <c r="M65" s="20"/>
      <c r="N65" s="20"/>
      <c r="O65" s="20" t="s">
        <v>587</v>
      </c>
      <c r="P65" s="20"/>
      <c r="Q65" s="20"/>
      <c r="R65" s="20"/>
      <c r="S65" s="20"/>
      <c r="T65" s="20"/>
      <c r="U65" s="20"/>
      <c r="V65" s="20"/>
      <c r="W65" s="20"/>
      <c r="X65" s="20"/>
      <c r="Y65" s="20" t="s">
        <v>589</v>
      </c>
      <c r="Z65" s="20" t="s">
        <v>591</v>
      </c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119" t="s">
        <v>596</v>
      </c>
      <c r="AU65" s="119" t="s">
        <v>586</v>
      </c>
      <c r="AV65" s="119" t="s">
        <v>588</v>
      </c>
      <c r="AW65" s="104">
        <f t="shared" si="2"/>
        <v>6</v>
      </c>
      <c r="AX65" s="104">
        <f t="shared" si="3"/>
        <v>2026</v>
      </c>
    </row>
    <row r="66" spans="1:50" ht="15.75" customHeight="1" thickBot="1" x14ac:dyDescent="0.3">
      <c r="A66" s="16">
        <v>46188</v>
      </c>
      <c r="B66" s="17"/>
      <c r="C66" s="17"/>
      <c r="D66" s="17"/>
      <c r="E66" s="17"/>
      <c r="F66" s="17" t="s">
        <v>597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 t="s">
        <v>593</v>
      </c>
      <c r="Z66" s="17" t="s">
        <v>594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18" t="s">
        <v>595</v>
      </c>
      <c r="AV66" s="118" t="s">
        <v>592</v>
      </c>
      <c r="AW66" s="14">
        <f t="shared" si="2"/>
        <v>6</v>
      </c>
      <c r="AX66" s="14">
        <f t="shared" si="3"/>
        <v>2026</v>
      </c>
    </row>
    <row r="67" spans="1:50" s="105" customFormat="1" ht="15.75" customHeight="1" x14ac:dyDescent="0.25">
      <c r="A67" s="18">
        <v>46189</v>
      </c>
      <c r="B67" s="20" t="s">
        <v>618</v>
      </c>
      <c r="C67" s="20" t="s">
        <v>631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 t="s">
        <v>613</v>
      </c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119" t="s">
        <v>622</v>
      </c>
      <c r="AU67" s="119" t="s">
        <v>615</v>
      </c>
      <c r="AV67" s="119" t="s">
        <v>614</v>
      </c>
      <c r="AW67" s="104">
        <f t="shared" si="2"/>
        <v>6</v>
      </c>
      <c r="AX67" s="104">
        <f t="shared" si="3"/>
        <v>2026</v>
      </c>
    </row>
    <row r="68" spans="1:50" ht="15.75" customHeight="1" x14ac:dyDescent="0.25">
      <c r="A68" s="11">
        <v>46189</v>
      </c>
      <c r="B68" s="12" t="s">
        <v>619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 t="s">
        <v>620</v>
      </c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16" t="s">
        <v>628</v>
      </c>
      <c r="AU68" s="116" t="s">
        <v>617</v>
      </c>
      <c r="AV68" s="116" t="s">
        <v>258</v>
      </c>
      <c r="AW68" s="14">
        <f t="shared" si="2"/>
        <v>6</v>
      </c>
      <c r="AX68" s="14">
        <f t="shared" si="3"/>
        <v>2026</v>
      </c>
    </row>
    <row r="69" spans="1:50" ht="15.75" customHeight="1" x14ac:dyDescent="0.25">
      <c r="A69" s="11">
        <v>46189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 t="s">
        <v>621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17" t="s">
        <v>624</v>
      </c>
      <c r="AV69" s="117" t="s">
        <v>616</v>
      </c>
      <c r="AW69" s="14">
        <f t="shared" si="2"/>
        <v>6</v>
      </c>
      <c r="AX69" s="14">
        <f t="shared" si="3"/>
        <v>2026</v>
      </c>
    </row>
    <row r="70" spans="1:50" ht="15.75" customHeight="1" x14ac:dyDescent="0.25">
      <c r="A70" s="11">
        <v>46189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 t="s">
        <v>629</v>
      </c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16" t="s">
        <v>625</v>
      </c>
      <c r="AV70" s="116" t="s">
        <v>623</v>
      </c>
      <c r="AW70" s="14">
        <f t="shared" ref="AW70:AW101" si="4">IF(A70="","",IF(ISNUMBER(A70),MONTH(A70),IFERROR(VALUE(MID(A70,FIND(".",A70)+1,FIND(".",A70,FIND(".",A70)+1)-FIND(".",A70)-1)),"")))</f>
        <v>6</v>
      </c>
      <c r="AX70" s="14">
        <f t="shared" ref="AX70:AX101" si="5">IF(A70="","",IF(ISNUMBER(A70),YEAR(A70),IFERROR(VALUE(RIGHT(A70,4)),"")))</f>
        <v>2026</v>
      </c>
    </row>
    <row r="71" spans="1:50" ht="15.75" customHeight="1" x14ac:dyDescent="0.25">
      <c r="A71" s="11">
        <v>46189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17" t="s">
        <v>626</v>
      </c>
      <c r="AV71" s="117" t="s">
        <v>627</v>
      </c>
      <c r="AW71" s="14">
        <f t="shared" si="4"/>
        <v>6</v>
      </c>
      <c r="AX71" s="14">
        <f t="shared" si="5"/>
        <v>2026</v>
      </c>
    </row>
    <row r="72" spans="1:50" s="103" customFormat="1" ht="15.75" customHeight="1" thickBot="1" x14ac:dyDescent="0.3">
      <c r="A72" s="101">
        <v>46189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25" t="s">
        <v>630</v>
      </c>
      <c r="AV72" s="102"/>
      <c r="AW72" s="26">
        <f t="shared" si="4"/>
        <v>6</v>
      </c>
      <c r="AX72" s="26">
        <f t="shared" si="5"/>
        <v>2026</v>
      </c>
    </row>
    <row r="73" spans="1:50" ht="15.75" customHeight="1" x14ac:dyDescent="0.25">
      <c r="A73" s="28">
        <v>46190</v>
      </c>
      <c r="B73" s="29" t="s">
        <v>649</v>
      </c>
      <c r="C73" s="29"/>
      <c r="D73" s="29"/>
      <c r="E73" s="29"/>
      <c r="F73" s="29" t="s">
        <v>645</v>
      </c>
      <c r="G73" s="29" t="s">
        <v>668</v>
      </c>
      <c r="H73" s="29" t="s">
        <v>646</v>
      </c>
      <c r="I73" s="29" t="s">
        <v>654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 t="s">
        <v>656</v>
      </c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 t="s">
        <v>651</v>
      </c>
      <c r="AS73" s="29"/>
      <c r="AT73" s="121" t="s">
        <v>647</v>
      </c>
      <c r="AU73" s="121" t="s">
        <v>648</v>
      </c>
      <c r="AV73" s="121" t="s">
        <v>650</v>
      </c>
      <c r="AW73" s="14">
        <f t="shared" si="4"/>
        <v>6</v>
      </c>
      <c r="AX73" s="14">
        <f t="shared" si="5"/>
        <v>2026</v>
      </c>
    </row>
    <row r="74" spans="1:50" ht="15.75" customHeight="1" x14ac:dyDescent="0.25">
      <c r="A74" s="11">
        <v>46190</v>
      </c>
      <c r="B74" s="12" t="s">
        <v>652</v>
      </c>
      <c r="C74" s="12"/>
      <c r="D74" s="12"/>
      <c r="E74" s="12"/>
      <c r="F74" s="12" t="s">
        <v>667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 t="s">
        <v>659</v>
      </c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16" t="s">
        <v>653</v>
      </c>
      <c r="AU74" s="116" t="s">
        <v>661</v>
      </c>
      <c r="AV74" s="116" t="s">
        <v>657</v>
      </c>
      <c r="AW74" s="14">
        <f t="shared" si="4"/>
        <v>6</v>
      </c>
      <c r="AX74" s="14">
        <f t="shared" si="5"/>
        <v>2026</v>
      </c>
    </row>
    <row r="75" spans="1:50" ht="15.75" customHeight="1" x14ac:dyDescent="0.25">
      <c r="A75" s="11">
        <v>46190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 t="s">
        <v>660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17" t="s">
        <v>655</v>
      </c>
      <c r="AU75" s="117" t="s">
        <v>665</v>
      </c>
      <c r="AV75" s="117" t="s">
        <v>658</v>
      </c>
      <c r="AW75" s="14">
        <f t="shared" si="4"/>
        <v>6</v>
      </c>
      <c r="AX75" s="14">
        <f t="shared" si="5"/>
        <v>2026</v>
      </c>
    </row>
    <row r="76" spans="1:50" ht="15.75" customHeight="1" x14ac:dyDescent="0.25">
      <c r="A76" s="11">
        <v>46190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 t="s">
        <v>263</v>
      </c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16" t="s">
        <v>666</v>
      </c>
      <c r="AV76" s="116" t="s">
        <v>662</v>
      </c>
      <c r="AW76" s="14">
        <f t="shared" si="4"/>
        <v>6</v>
      </c>
      <c r="AX76" s="14">
        <f t="shared" si="5"/>
        <v>2026</v>
      </c>
    </row>
    <row r="77" spans="1:50" ht="15.75" customHeight="1" x14ac:dyDescent="0.25">
      <c r="A77" s="11">
        <v>46190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17" t="s">
        <v>670</v>
      </c>
      <c r="AV77" s="117" t="s">
        <v>663</v>
      </c>
      <c r="AW77" s="14">
        <f t="shared" si="4"/>
        <v>6</v>
      </c>
      <c r="AX77" s="14">
        <f t="shared" si="5"/>
        <v>2026</v>
      </c>
    </row>
    <row r="78" spans="1:50" ht="15.75" customHeight="1" x14ac:dyDescent="0.25">
      <c r="A78" s="11">
        <v>46190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16" t="s">
        <v>664</v>
      </c>
      <c r="AW78" s="14">
        <f t="shared" si="4"/>
        <v>6</v>
      </c>
      <c r="AX78" s="14">
        <f t="shared" si="5"/>
        <v>2026</v>
      </c>
    </row>
    <row r="79" spans="1:50" s="103" customFormat="1" ht="15.75" customHeight="1" thickBot="1" x14ac:dyDescent="0.3">
      <c r="A79" s="101">
        <v>46190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50" t="s">
        <v>669</v>
      </c>
      <c r="AW79" s="26">
        <f t="shared" si="4"/>
        <v>6</v>
      </c>
      <c r="AX79" s="26">
        <f t="shared" si="5"/>
        <v>2026</v>
      </c>
    </row>
    <row r="80" spans="1:50" ht="15.75" customHeight="1" x14ac:dyDescent="0.25">
      <c r="A80" s="28">
        <v>46191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 t="s">
        <v>705</v>
      </c>
      <c r="W80" s="37"/>
      <c r="X80" s="37"/>
      <c r="Y80" s="37" t="s">
        <v>693</v>
      </c>
      <c r="Z80" s="37" t="s">
        <v>685</v>
      </c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124" t="s">
        <v>697</v>
      </c>
      <c r="AU80" s="124" t="s">
        <v>691</v>
      </c>
      <c r="AV80" s="124" t="s">
        <v>683</v>
      </c>
      <c r="AW80" s="14">
        <f t="shared" si="4"/>
        <v>6</v>
      </c>
      <c r="AX80" s="14">
        <f t="shared" si="5"/>
        <v>2026</v>
      </c>
    </row>
    <row r="81" spans="1:50" ht="15.75" customHeight="1" x14ac:dyDescent="0.25">
      <c r="A81" s="11">
        <v>46191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 t="s">
        <v>706</v>
      </c>
      <c r="W81" s="15"/>
      <c r="X81" s="15"/>
      <c r="Y81" s="15"/>
      <c r="Z81" s="15" t="s">
        <v>686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17" t="s">
        <v>701</v>
      </c>
      <c r="AU81" s="117" t="s">
        <v>692</v>
      </c>
      <c r="AV81" s="117" t="s">
        <v>684</v>
      </c>
      <c r="AW81" s="14">
        <f t="shared" si="4"/>
        <v>6</v>
      </c>
      <c r="AX81" s="14">
        <f t="shared" si="5"/>
        <v>2026</v>
      </c>
    </row>
    <row r="82" spans="1:50" ht="15.75" customHeight="1" x14ac:dyDescent="0.25">
      <c r="A82" s="11">
        <v>46191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 t="s">
        <v>689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16" t="s">
        <v>698</v>
      </c>
      <c r="AV82" s="116" t="s">
        <v>687</v>
      </c>
      <c r="AW82" s="14">
        <f t="shared" si="4"/>
        <v>6</v>
      </c>
      <c r="AX82" s="14">
        <f t="shared" si="5"/>
        <v>2026</v>
      </c>
    </row>
    <row r="83" spans="1:50" ht="15.75" customHeight="1" x14ac:dyDescent="0.25">
      <c r="A83" s="11">
        <v>46191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 t="s">
        <v>695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17" t="s">
        <v>700</v>
      </c>
      <c r="AV83" s="117" t="s">
        <v>688</v>
      </c>
      <c r="AW83" s="14">
        <f t="shared" si="4"/>
        <v>6</v>
      </c>
      <c r="AX83" s="14">
        <f t="shared" si="5"/>
        <v>2026</v>
      </c>
    </row>
    <row r="84" spans="1:50" ht="15.75" customHeight="1" x14ac:dyDescent="0.25">
      <c r="A84" s="11">
        <v>46191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 t="s">
        <v>699</v>
      </c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16" t="s">
        <v>703</v>
      </c>
      <c r="AV84" s="116" t="s">
        <v>690</v>
      </c>
      <c r="AW84" s="14">
        <f t="shared" si="4"/>
        <v>6</v>
      </c>
      <c r="AX84" s="14">
        <f t="shared" si="5"/>
        <v>2026</v>
      </c>
    </row>
    <row r="85" spans="1:50" ht="15.75" customHeight="1" x14ac:dyDescent="0.25">
      <c r="A85" s="11">
        <v>46191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 t="s">
        <v>702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17" t="s">
        <v>694</v>
      </c>
      <c r="AW85" s="14">
        <f t="shared" si="4"/>
        <v>6</v>
      </c>
      <c r="AX85" s="14">
        <f t="shared" si="5"/>
        <v>2026</v>
      </c>
    </row>
    <row r="86" spans="1:50" s="103" customFormat="1" ht="15.75" customHeight="1" thickBot="1" x14ac:dyDescent="0.3">
      <c r="A86" s="101">
        <v>46191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 t="s">
        <v>704</v>
      </c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25" t="s">
        <v>696</v>
      </c>
      <c r="AW86" s="26">
        <f t="shared" si="4"/>
        <v>6</v>
      </c>
      <c r="AX86" s="26">
        <f t="shared" si="5"/>
        <v>2026</v>
      </c>
    </row>
    <row r="87" spans="1:50" ht="15.75" customHeight="1" x14ac:dyDescent="0.25">
      <c r="A87" s="28">
        <v>46192</v>
      </c>
      <c r="C87" s="29" t="s">
        <v>717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 t="s">
        <v>720</v>
      </c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 t="s">
        <v>713</v>
      </c>
      <c r="AR87" s="29"/>
      <c r="AS87" s="29"/>
      <c r="AT87" s="121" t="s">
        <v>714</v>
      </c>
      <c r="AU87" s="116" t="s">
        <v>715</v>
      </c>
      <c r="AV87" s="121" t="s">
        <v>716</v>
      </c>
      <c r="AW87" s="14">
        <f t="shared" si="4"/>
        <v>6</v>
      </c>
      <c r="AX87" s="14">
        <f t="shared" si="5"/>
        <v>2026</v>
      </c>
    </row>
    <row r="88" spans="1:50" ht="15.75" customHeight="1" x14ac:dyDescent="0.25">
      <c r="A88" s="11">
        <v>46192</v>
      </c>
      <c r="B88" s="12"/>
      <c r="C88" s="12" t="s">
        <v>721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 t="s">
        <v>723</v>
      </c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16" t="s">
        <v>719</v>
      </c>
      <c r="AU88" s="116" t="s">
        <v>718</v>
      </c>
      <c r="AV88" s="12"/>
      <c r="AW88" s="14">
        <f t="shared" si="4"/>
        <v>6</v>
      </c>
      <c r="AX88" s="14">
        <f t="shared" si="5"/>
        <v>2026</v>
      </c>
    </row>
    <row r="89" spans="1:50" s="103" customFormat="1" ht="15.75" customHeight="1" thickBot="1" x14ac:dyDescent="0.3">
      <c r="A89" s="101">
        <v>46192</v>
      </c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50" t="s">
        <v>722</v>
      </c>
      <c r="AV89" s="126"/>
      <c r="AW89" s="26">
        <f t="shared" si="4"/>
        <v>6</v>
      </c>
      <c r="AX89" s="26">
        <f t="shared" si="5"/>
        <v>2026</v>
      </c>
    </row>
    <row r="90" spans="1:50" ht="15.75" customHeight="1" x14ac:dyDescent="0.25">
      <c r="A90" s="28">
        <v>46195</v>
      </c>
      <c r="B90" s="37" t="s">
        <v>739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 t="s">
        <v>743</v>
      </c>
      <c r="AA90" s="37"/>
      <c r="AB90" s="37"/>
      <c r="AC90" s="37"/>
      <c r="AD90" s="37"/>
      <c r="AE90" s="37"/>
      <c r="AF90" s="37" t="s">
        <v>749</v>
      </c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124" t="s">
        <v>744</v>
      </c>
      <c r="AU90" s="124" t="s">
        <v>734</v>
      </c>
      <c r="AV90" s="124" t="s">
        <v>735</v>
      </c>
      <c r="AW90" s="14">
        <f t="shared" si="4"/>
        <v>6</v>
      </c>
      <c r="AX90" s="14">
        <f t="shared" si="5"/>
        <v>2026</v>
      </c>
    </row>
    <row r="91" spans="1:50" ht="15.75" customHeight="1" x14ac:dyDescent="0.25">
      <c r="A91" s="11">
        <v>46195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 t="s">
        <v>743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17" t="s">
        <v>746</v>
      </c>
      <c r="AU91" s="117" t="s">
        <v>736</v>
      </c>
      <c r="AV91" s="117" t="s">
        <v>745</v>
      </c>
      <c r="AW91" s="14">
        <f t="shared" si="4"/>
        <v>6</v>
      </c>
      <c r="AX91" s="14">
        <f t="shared" si="5"/>
        <v>2026</v>
      </c>
    </row>
    <row r="92" spans="1:50" ht="15.75" customHeight="1" x14ac:dyDescent="0.25">
      <c r="A92" s="11">
        <v>46195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16" t="s">
        <v>748</v>
      </c>
      <c r="AU92" s="116" t="s">
        <v>737</v>
      </c>
      <c r="AV92" s="12"/>
      <c r="AW92" s="14">
        <f t="shared" si="4"/>
        <v>6</v>
      </c>
      <c r="AX92" s="14">
        <f t="shared" si="5"/>
        <v>2026</v>
      </c>
    </row>
    <row r="93" spans="1:50" ht="15.75" customHeight="1" x14ac:dyDescent="0.25">
      <c r="A93" s="11">
        <v>46195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17" t="s">
        <v>738</v>
      </c>
      <c r="AV93" s="15"/>
      <c r="AW93" s="14">
        <f t="shared" si="4"/>
        <v>6</v>
      </c>
      <c r="AX93" s="14">
        <f t="shared" si="5"/>
        <v>2026</v>
      </c>
    </row>
    <row r="94" spans="1:50" ht="15.75" customHeight="1" x14ac:dyDescent="0.25">
      <c r="A94" s="11">
        <v>46195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16" t="s">
        <v>740</v>
      </c>
      <c r="AV94" s="12"/>
      <c r="AW94" s="14">
        <f t="shared" si="4"/>
        <v>6</v>
      </c>
      <c r="AX94" s="14">
        <f t="shared" si="5"/>
        <v>2026</v>
      </c>
    </row>
    <row r="95" spans="1:50" ht="15.75" customHeight="1" x14ac:dyDescent="0.25">
      <c r="A95" s="11">
        <v>46195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17" t="s">
        <v>741</v>
      </c>
      <c r="AV95" s="15"/>
      <c r="AW95" s="14">
        <f t="shared" si="4"/>
        <v>6</v>
      </c>
      <c r="AX95" s="14">
        <f t="shared" si="5"/>
        <v>2026</v>
      </c>
    </row>
    <row r="96" spans="1:50" ht="15.75" customHeight="1" x14ac:dyDescent="0.25">
      <c r="A96" s="11">
        <v>46195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16" t="s">
        <v>742</v>
      </c>
      <c r="AV96" s="12"/>
      <c r="AW96" s="14">
        <f t="shared" si="4"/>
        <v>6</v>
      </c>
      <c r="AX96" s="14">
        <f t="shared" si="5"/>
        <v>2026</v>
      </c>
    </row>
    <row r="97" spans="1:50" s="103" customFormat="1" ht="15.75" customHeight="1" thickBot="1" x14ac:dyDescent="0.3">
      <c r="A97" s="101">
        <v>46195</v>
      </c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50" t="s">
        <v>747</v>
      </c>
      <c r="AV97" s="126"/>
      <c r="AW97" s="26">
        <f t="shared" si="4"/>
        <v>6</v>
      </c>
      <c r="AX97" s="26">
        <f t="shared" si="5"/>
        <v>2026</v>
      </c>
    </row>
    <row r="98" spans="1:50" ht="15.75" customHeight="1" x14ac:dyDescent="0.25">
      <c r="A98" s="45">
        <v>46196</v>
      </c>
      <c r="B98" s="146" t="s">
        <v>774</v>
      </c>
      <c r="C98" s="146" t="s">
        <v>777</v>
      </c>
      <c r="D98" s="146"/>
      <c r="E98" s="146" t="s">
        <v>775</v>
      </c>
      <c r="F98" s="146"/>
      <c r="G98" s="146" t="s">
        <v>776</v>
      </c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 t="s">
        <v>769</v>
      </c>
      <c r="AA98" s="146"/>
      <c r="AB98" s="146"/>
      <c r="AC98" s="146"/>
      <c r="AD98" s="146"/>
      <c r="AE98" s="146"/>
      <c r="AF98" s="146" t="s">
        <v>772</v>
      </c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51" t="s">
        <v>771</v>
      </c>
      <c r="AV98" s="151" t="s">
        <v>773</v>
      </c>
      <c r="AW98" s="14">
        <f t="shared" si="4"/>
        <v>6</v>
      </c>
      <c r="AX98" s="14">
        <f t="shared" si="5"/>
        <v>2026</v>
      </c>
    </row>
    <row r="99" spans="1:50" s="148" customFormat="1" ht="15.75" customHeight="1" thickBot="1" x14ac:dyDescent="0.3">
      <c r="A99" s="101">
        <v>46196</v>
      </c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 t="s">
        <v>770</v>
      </c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47">
        <f t="shared" si="4"/>
        <v>6</v>
      </c>
      <c r="AX99" s="147">
        <f t="shared" si="5"/>
        <v>2026</v>
      </c>
    </row>
    <row r="100" spans="1:50" ht="15.75" customHeight="1" x14ac:dyDescent="0.25">
      <c r="A100" s="28">
        <v>46197</v>
      </c>
      <c r="B100" s="37" t="s">
        <v>813</v>
      </c>
      <c r="C100" s="37" t="s">
        <v>811</v>
      </c>
      <c r="D100" s="37"/>
      <c r="E100" s="37"/>
      <c r="F100" s="37"/>
      <c r="G100" s="37"/>
      <c r="H100" s="37" t="s">
        <v>809</v>
      </c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 t="s">
        <v>810</v>
      </c>
      <c r="Z100" s="37" t="s">
        <v>814</v>
      </c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124" t="s">
        <v>812</v>
      </c>
      <c r="AV100" s="124" t="s">
        <v>820</v>
      </c>
      <c r="AW100" s="14">
        <f t="shared" si="4"/>
        <v>6</v>
      </c>
      <c r="AX100" s="14">
        <f t="shared" si="5"/>
        <v>2026</v>
      </c>
    </row>
    <row r="101" spans="1:50" ht="15.75" customHeight="1" x14ac:dyDescent="0.25">
      <c r="A101" s="11">
        <v>46197</v>
      </c>
      <c r="B101" s="15" t="s">
        <v>815</v>
      </c>
      <c r="C101" s="15"/>
      <c r="D101" s="15"/>
      <c r="E101" s="15"/>
      <c r="F101" s="15"/>
      <c r="G101" s="15"/>
      <c r="H101" s="15" t="s">
        <v>819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17" t="s">
        <v>816</v>
      </c>
      <c r="AV101" s="15"/>
      <c r="AW101" s="14">
        <f t="shared" si="4"/>
        <v>6</v>
      </c>
      <c r="AX101" s="14">
        <f t="shared" si="5"/>
        <v>2026</v>
      </c>
    </row>
    <row r="102" spans="1:50" s="103" customFormat="1" ht="15.75" customHeight="1" thickBot="1" x14ac:dyDescent="0.3">
      <c r="A102" s="101">
        <v>46197</v>
      </c>
      <c r="B102" s="102" t="s">
        <v>818</v>
      </c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25" t="s">
        <v>817</v>
      </c>
      <c r="AV102" s="102"/>
      <c r="AW102" s="26">
        <f t="shared" ref="AW102:AW133" si="6">IF(A102="","",IF(ISNUMBER(A102),MONTH(A102),IFERROR(VALUE(MID(A102,FIND(".",A102)+1,FIND(".",A102,FIND(".",A102)+1)-FIND(".",A102)-1)),"")))</f>
        <v>6</v>
      </c>
      <c r="AX102" s="26">
        <f t="shared" ref="AX102:AX133" si="7">IF(A102="","",IF(ISNUMBER(A102),YEAR(A102),IFERROR(VALUE(RIGHT(A102,4)),"")))</f>
        <v>2026</v>
      </c>
    </row>
    <row r="103" spans="1:50" ht="15.75" customHeight="1" x14ac:dyDescent="0.25">
      <c r="A103" s="28">
        <v>46198</v>
      </c>
      <c r="B103" s="29"/>
      <c r="C103" s="29" t="s">
        <v>858</v>
      </c>
      <c r="D103" s="29"/>
      <c r="E103" s="29" t="s">
        <v>861</v>
      </c>
      <c r="F103" s="29"/>
      <c r="G103" s="29" t="s">
        <v>857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 t="s">
        <v>853</v>
      </c>
      <c r="Z103" s="29" t="s">
        <v>855</v>
      </c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 t="s">
        <v>865</v>
      </c>
      <c r="AS103" s="29"/>
      <c r="AT103" s="121" t="s">
        <v>859</v>
      </c>
      <c r="AU103" s="121" t="s">
        <v>852</v>
      </c>
      <c r="AV103" s="121" t="s">
        <v>863</v>
      </c>
      <c r="AW103" s="14">
        <f t="shared" si="6"/>
        <v>6</v>
      </c>
      <c r="AX103" s="14">
        <f t="shared" si="7"/>
        <v>2026</v>
      </c>
    </row>
    <row r="104" spans="1:50" ht="15.75" customHeight="1" x14ac:dyDescent="0.25">
      <c r="A104" s="11">
        <v>46198</v>
      </c>
      <c r="B104" s="12"/>
      <c r="C104" s="12"/>
      <c r="D104" s="12"/>
      <c r="E104" s="12" t="s">
        <v>861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16" t="s">
        <v>862</v>
      </c>
      <c r="AU104" s="116" t="s">
        <v>854</v>
      </c>
      <c r="AV104" s="12"/>
      <c r="AW104" s="14">
        <f t="shared" si="6"/>
        <v>6</v>
      </c>
      <c r="AX104" s="14">
        <f t="shared" si="7"/>
        <v>2026</v>
      </c>
    </row>
    <row r="105" spans="1:50" ht="15.75" customHeight="1" x14ac:dyDescent="0.25">
      <c r="A105" s="11">
        <v>46198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17" t="s">
        <v>856</v>
      </c>
      <c r="AV105" s="15"/>
      <c r="AW105" s="14">
        <f t="shared" si="6"/>
        <v>6</v>
      </c>
      <c r="AX105" s="14">
        <f t="shared" si="7"/>
        <v>2026</v>
      </c>
    </row>
    <row r="106" spans="1:50" ht="15.75" customHeight="1" x14ac:dyDescent="0.25">
      <c r="A106" s="11">
        <v>46198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16" t="s">
        <v>860</v>
      </c>
      <c r="AV106" s="12"/>
      <c r="AW106" s="14">
        <f t="shared" si="6"/>
        <v>6</v>
      </c>
      <c r="AX106" s="14">
        <f t="shared" si="7"/>
        <v>2026</v>
      </c>
    </row>
    <row r="107" spans="1:50" s="103" customFormat="1" ht="15.75" customHeight="1" thickBot="1" x14ac:dyDescent="0.3">
      <c r="A107" s="101">
        <v>46198</v>
      </c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50" t="s">
        <v>864</v>
      </c>
      <c r="AV107" s="126"/>
      <c r="AW107" s="26">
        <f t="shared" si="6"/>
        <v>6</v>
      </c>
      <c r="AX107" s="26">
        <f t="shared" si="7"/>
        <v>2026</v>
      </c>
    </row>
    <row r="108" spans="1:50" ht="15.75" customHeight="1" x14ac:dyDescent="0.25">
      <c r="A108" s="28">
        <v>46199</v>
      </c>
      <c r="B108" s="37"/>
      <c r="C108" s="37"/>
      <c r="D108" s="37"/>
      <c r="E108" s="37"/>
      <c r="F108" s="37" t="s">
        <v>883</v>
      </c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 t="s">
        <v>880</v>
      </c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 t="s">
        <v>881</v>
      </c>
      <c r="AS108" s="37"/>
      <c r="AT108" s="37"/>
      <c r="AU108" s="124" t="s">
        <v>882</v>
      </c>
      <c r="AV108" s="124" t="s">
        <v>879</v>
      </c>
      <c r="AW108" s="14">
        <f t="shared" si="6"/>
        <v>6</v>
      </c>
      <c r="AX108" s="14">
        <f t="shared" si="7"/>
        <v>2026</v>
      </c>
    </row>
    <row r="109" spans="1:50" ht="15.75" customHeight="1" x14ac:dyDescent="0.25">
      <c r="A109" s="11">
        <v>46199</v>
      </c>
      <c r="B109" s="15"/>
      <c r="C109" s="15"/>
      <c r="D109" s="15"/>
      <c r="E109" s="15"/>
      <c r="F109" s="15" t="s">
        <v>887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 t="s">
        <v>884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17" t="s">
        <v>885</v>
      </c>
      <c r="AV109" s="117" t="s">
        <v>886</v>
      </c>
      <c r="AW109" s="14">
        <f t="shared" si="6"/>
        <v>6</v>
      </c>
      <c r="AX109" s="14">
        <f t="shared" si="7"/>
        <v>2026</v>
      </c>
    </row>
    <row r="110" spans="1:50" ht="15.75" customHeight="1" x14ac:dyDescent="0.25">
      <c r="A110" s="11">
        <v>46199</v>
      </c>
      <c r="B110" s="12"/>
      <c r="C110" s="12"/>
      <c r="D110" s="12"/>
      <c r="E110" s="12"/>
      <c r="F110" s="12" t="s">
        <v>889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 t="s">
        <v>891</v>
      </c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16" t="s">
        <v>890</v>
      </c>
      <c r="AV110" s="116" t="s">
        <v>888</v>
      </c>
      <c r="AW110" s="14">
        <f t="shared" si="6"/>
        <v>6</v>
      </c>
      <c r="AX110" s="14">
        <f t="shared" si="7"/>
        <v>2026</v>
      </c>
    </row>
    <row r="111" spans="1:50" ht="15.75" customHeight="1" x14ac:dyDescent="0.25">
      <c r="A111" s="11">
        <v>46199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17" t="s">
        <v>892</v>
      </c>
      <c r="AV111" s="117" t="s">
        <v>888</v>
      </c>
      <c r="AW111" s="14">
        <f t="shared" si="6"/>
        <v>6</v>
      </c>
      <c r="AX111" s="14">
        <f t="shared" si="7"/>
        <v>2026</v>
      </c>
    </row>
    <row r="112" spans="1:50" ht="15.75" customHeight="1" thickBot="1" x14ac:dyDescent="0.3">
      <c r="A112" s="16">
        <v>46199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18" t="s">
        <v>893</v>
      </c>
      <c r="AV112" s="17"/>
      <c r="AW112" s="14">
        <f t="shared" si="6"/>
        <v>6</v>
      </c>
      <c r="AX112" s="14">
        <f t="shared" si="7"/>
        <v>2026</v>
      </c>
    </row>
    <row r="113" spans="1:50" s="105" customFormat="1" ht="15.75" customHeight="1" x14ac:dyDescent="0.25">
      <c r="A113" s="18">
        <v>46202</v>
      </c>
      <c r="B113" s="20"/>
      <c r="C113" s="20"/>
      <c r="D113" s="20"/>
      <c r="E113" s="20"/>
      <c r="F113" s="20"/>
      <c r="G113" s="20"/>
      <c r="H113" s="20" t="s">
        <v>925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 t="s">
        <v>928</v>
      </c>
      <c r="X113" s="20"/>
      <c r="Y113" s="20" t="s">
        <v>916</v>
      </c>
      <c r="Z113" s="20" t="s">
        <v>919</v>
      </c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 t="s">
        <v>931</v>
      </c>
      <c r="AS113" s="20"/>
      <c r="AT113" s="119" t="s">
        <v>929</v>
      </c>
      <c r="AU113" s="119" t="s">
        <v>926</v>
      </c>
      <c r="AV113" s="119" t="s">
        <v>917</v>
      </c>
      <c r="AW113" s="104">
        <f t="shared" si="6"/>
        <v>6</v>
      </c>
      <c r="AX113" s="104">
        <f t="shared" si="7"/>
        <v>2026</v>
      </c>
    </row>
    <row r="114" spans="1:50" ht="15.75" customHeight="1" x14ac:dyDescent="0.25">
      <c r="A114" s="11">
        <v>46202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 t="s">
        <v>918</v>
      </c>
      <c r="Z114" s="12" t="s">
        <v>923</v>
      </c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16" t="s">
        <v>927</v>
      </c>
      <c r="AV114" s="116" t="s">
        <v>921</v>
      </c>
      <c r="AW114" s="14">
        <f t="shared" si="6"/>
        <v>6</v>
      </c>
      <c r="AX114" s="14">
        <f t="shared" si="7"/>
        <v>2026</v>
      </c>
    </row>
    <row r="115" spans="1:50" ht="15.75" customHeight="1" x14ac:dyDescent="0.25">
      <c r="A115" s="11">
        <v>46202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 t="s">
        <v>920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16" t="s">
        <v>932</v>
      </c>
      <c r="AV115" s="117" t="s">
        <v>922</v>
      </c>
      <c r="AW115" s="14">
        <f t="shared" si="6"/>
        <v>6</v>
      </c>
      <c r="AX115" s="14">
        <f t="shared" si="7"/>
        <v>2026</v>
      </c>
    </row>
    <row r="116" spans="1:50" ht="15.75" customHeight="1" x14ac:dyDescent="0.25">
      <c r="A116" s="11">
        <v>46202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49"/>
      <c r="AV116" s="116" t="s">
        <v>924</v>
      </c>
      <c r="AW116" s="14">
        <f t="shared" si="6"/>
        <v>6</v>
      </c>
      <c r="AX116" s="14">
        <f t="shared" si="7"/>
        <v>2026</v>
      </c>
    </row>
    <row r="117" spans="1:50" ht="15.75" customHeight="1" thickBot="1" x14ac:dyDescent="0.3">
      <c r="A117" s="16">
        <v>46202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152" t="s">
        <v>930</v>
      </c>
      <c r="AW117" s="14">
        <f t="shared" si="6"/>
        <v>6</v>
      </c>
      <c r="AX117" s="14">
        <f t="shared" si="7"/>
        <v>2026</v>
      </c>
    </row>
    <row r="118" spans="1:50" s="105" customFormat="1" ht="15.75" customHeight="1" x14ac:dyDescent="0.25">
      <c r="A118" s="18">
        <v>46203</v>
      </c>
      <c r="B118" s="19"/>
      <c r="C118" s="19" t="s">
        <v>995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 t="s">
        <v>1005</v>
      </c>
      <c r="Z118" s="19" t="s">
        <v>999</v>
      </c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53" t="s">
        <v>994</v>
      </c>
      <c r="AU118" s="153" t="s">
        <v>992</v>
      </c>
      <c r="AV118" s="153" t="s">
        <v>997</v>
      </c>
      <c r="AW118" s="104">
        <f t="shared" si="6"/>
        <v>6</v>
      </c>
      <c r="AX118" s="104">
        <f t="shared" si="7"/>
        <v>2026</v>
      </c>
    </row>
    <row r="119" spans="1:50" ht="15.75" customHeight="1" x14ac:dyDescent="0.25">
      <c r="A119" s="11">
        <v>46203</v>
      </c>
      <c r="B119" s="15"/>
      <c r="C119" s="15" t="s">
        <v>998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17" t="s">
        <v>993</v>
      </c>
      <c r="AV119" s="15"/>
      <c r="AW119" s="14">
        <f t="shared" si="6"/>
        <v>6</v>
      </c>
      <c r="AX119" s="14">
        <f t="shared" si="7"/>
        <v>2026</v>
      </c>
    </row>
    <row r="120" spans="1:50" ht="15.75" customHeight="1" x14ac:dyDescent="0.25">
      <c r="A120" s="11">
        <v>46203</v>
      </c>
      <c r="B120" s="12"/>
      <c r="C120" s="12" t="s">
        <v>1000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16" t="s">
        <v>996</v>
      </c>
      <c r="AV120" s="12"/>
      <c r="AW120" s="14">
        <f t="shared" si="6"/>
        <v>6</v>
      </c>
      <c r="AX120" s="14">
        <f t="shared" si="7"/>
        <v>2026</v>
      </c>
    </row>
    <row r="121" spans="1:50" ht="15.75" customHeight="1" x14ac:dyDescent="0.25">
      <c r="A121" s="11">
        <v>46203</v>
      </c>
      <c r="B121" s="15"/>
      <c r="C121" s="15" t="s">
        <v>1003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17" t="s">
        <v>1001</v>
      </c>
      <c r="AV121" s="15"/>
      <c r="AW121" s="14">
        <f t="shared" si="6"/>
        <v>6</v>
      </c>
      <c r="AX121" s="14">
        <f t="shared" si="7"/>
        <v>2026</v>
      </c>
    </row>
    <row r="122" spans="1:50" ht="15.75" customHeight="1" x14ac:dyDescent="0.25">
      <c r="A122" s="11">
        <v>46203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16" t="s">
        <v>1002</v>
      </c>
      <c r="AV122" s="12"/>
      <c r="AW122" s="14">
        <f t="shared" si="6"/>
        <v>6</v>
      </c>
      <c r="AX122" s="14">
        <f t="shared" si="7"/>
        <v>2026</v>
      </c>
    </row>
    <row r="123" spans="1:50" ht="15.75" customHeight="1" x14ac:dyDescent="0.25">
      <c r="A123" s="11">
        <v>46203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17" t="s">
        <v>1004</v>
      </c>
      <c r="AV123" s="15"/>
      <c r="AW123" s="14">
        <f t="shared" si="6"/>
        <v>6</v>
      </c>
      <c r="AX123" s="14">
        <f t="shared" si="7"/>
        <v>2026</v>
      </c>
    </row>
    <row r="124" spans="1:50" s="103" customFormat="1" ht="15.75" customHeight="1" thickBot="1" x14ac:dyDescent="0.3">
      <c r="A124" s="101">
        <v>46203</v>
      </c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25" t="s">
        <v>1006</v>
      </c>
      <c r="AV124" s="102"/>
      <c r="AW124" s="26">
        <f t="shared" si="6"/>
        <v>6</v>
      </c>
      <c r="AX124" s="26">
        <f t="shared" si="7"/>
        <v>2026</v>
      </c>
    </row>
    <row r="125" spans="1:50" ht="15.75" customHeight="1" x14ac:dyDescent="0.25">
      <c r="A125" s="28">
        <v>46204</v>
      </c>
      <c r="B125" s="29" t="s">
        <v>1020</v>
      </c>
      <c r="C125" s="29" t="s">
        <v>1020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 t="s">
        <v>1019</v>
      </c>
      <c r="AA125" s="29"/>
      <c r="AB125" s="29"/>
      <c r="AC125" s="29"/>
      <c r="AD125" s="29" t="s">
        <v>1026</v>
      </c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121" t="s">
        <v>1017</v>
      </c>
      <c r="AV125" s="121" t="s">
        <v>1018</v>
      </c>
      <c r="AW125" s="14">
        <f t="shared" si="6"/>
        <v>7</v>
      </c>
      <c r="AX125" s="14">
        <f t="shared" si="7"/>
        <v>2026</v>
      </c>
    </row>
    <row r="126" spans="1:50" ht="15.75" customHeight="1" x14ac:dyDescent="0.25">
      <c r="A126" s="11">
        <v>46204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 t="s">
        <v>1030</v>
      </c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16" t="s">
        <v>1022</v>
      </c>
      <c r="AV126" s="116" t="s">
        <v>1021</v>
      </c>
      <c r="AW126" s="14">
        <f t="shared" si="6"/>
        <v>7</v>
      </c>
      <c r="AX126" s="14">
        <f t="shared" si="7"/>
        <v>2026</v>
      </c>
    </row>
    <row r="127" spans="1:50" ht="15.75" customHeight="1" x14ac:dyDescent="0.25">
      <c r="A127" s="11">
        <v>46204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17" t="s">
        <v>1023</v>
      </c>
      <c r="AV127" s="15"/>
      <c r="AW127" s="14">
        <f t="shared" si="6"/>
        <v>7</v>
      </c>
      <c r="AX127" s="14">
        <f t="shared" si="7"/>
        <v>2026</v>
      </c>
    </row>
    <row r="128" spans="1:50" ht="15.75" customHeight="1" x14ac:dyDescent="0.25">
      <c r="A128" s="11">
        <v>46204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16" t="s">
        <v>1024</v>
      </c>
      <c r="AV128" s="12"/>
      <c r="AW128" s="14">
        <f t="shared" si="6"/>
        <v>7</v>
      </c>
      <c r="AX128" s="14">
        <f t="shared" si="7"/>
        <v>2026</v>
      </c>
    </row>
    <row r="129" spans="1:55" ht="15.75" customHeight="1" x14ac:dyDescent="0.25">
      <c r="A129" s="11">
        <v>46204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17" t="s">
        <v>1025</v>
      </c>
      <c r="AV129" s="15"/>
      <c r="AW129" s="14">
        <f t="shared" si="6"/>
        <v>7</v>
      </c>
      <c r="AX129" s="14">
        <f t="shared" si="7"/>
        <v>2026</v>
      </c>
    </row>
    <row r="130" spans="1:55" ht="15.75" customHeight="1" x14ac:dyDescent="0.25">
      <c r="A130" s="11">
        <v>46204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16" t="s">
        <v>1027</v>
      </c>
      <c r="AV130" s="12"/>
      <c r="AW130" s="14">
        <f t="shared" si="6"/>
        <v>7</v>
      </c>
      <c r="AX130" s="14">
        <f t="shared" si="7"/>
        <v>2026</v>
      </c>
    </row>
    <row r="131" spans="1:55" ht="15.75" customHeight="1" x14ac:dyDescent="0.25">
      <c r="A131" s="11">
        <v>46204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17" t="s">
        <v>1028</v>
      </c>
      <c r="AV131" s="15"/>
      <c r="AW131" s="14">
        <f t="shared" si="6"/>
        <v>7</v>
      </c>
      <c r="AX131" s="14">
        <f t="shared" si="7"/>
        <v>2026</v>
      </c>
    </row>
    <row r="132" spans="1:55" s="103" customFormat="1" ht="15.75" customHeight="1" thickBot="1" x14ac:dyDescent="0.3">
      <c r="A132" s="101">
        <v>46204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25" t="s">
        <v>1029</v>
      </c>
      <c r="AV132" s="102"/>
      <c r="AW132" s="26">
        <f t="shared" si="6"/>
        <v>7</v>
      </c>
      <c r="AX132" s="26">
        <f t="shared" si="7"/>
        <v>2026</v>
      </c>
    </row>
    <row r="133" spans="1:55" ht="15.75" customHeight="1" x14ac:dyDescent="0.25">
      <c r="A133" s="28">
        <v>46205</v>
      </c>
      <c r="B133" s="29" t="s">
        <v>1062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 t="s">
        <v>1060</v>
      </c>
      <c r="X133" s="29"/>
      <c r="Y133" s="29" t="s">
        <v>1067</v>
      </c>
      <c r="Z133" s="29" t="s">
        <v>1059</v>
      </c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121" t="s">
        <v>1065</v>
      </c>
      <c r="AU133" s="121" t="s">
        <v>1063</v>
      </c>
      <c r="AV133" s="121" t="s">
        <v>1061</v>
      </c>
      <c r="AW133" s="14">
        <f t="shared" si="6"/>
        <v>7</v>
      </c>
      <c r="AX133" s="14">
        <f t="shared" si="7"/>
        <v>2026</v>
      </c>
    </row>
    <row r="134" spans="1:55" ht="15.75" customHeight="1" x14ac:dyDescent="0.25">
      <c r="A134" s="11">
        <v>46205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16" t="s">
        <v>1064</v>
      </c>
      <c r="AV134" s="12"/>
      <c r="AW134" s="14">
        <f t="shared" ref="AW134:AW159" si="8">IF(A134="","",IF(ISNUMBER(A134),MONTH(A134),IFERROR(VALUE(MID(A134,FIND(".",A134)+1,FIND(".",A134,FIND(".",A134)+1)-FIND(".",A134)-1)),"")))</f>
        <v>7</v>
      </c>
      <c r="AX134" s="14">
        <f t="shared" ref="AX134:AX159" si="9">IF(A134="","",IF(ISNUMBER(A134),YEAR(A134),IFERROR(VALUE(RIGHT(A134,4)),"")))</f>
        <v>2026</v>
      </c>
    </row>
    <row r="135" spans="1:55" s="103" customFormat="1" ht="15.75" customHeight="1" thickBot="1" x14ac:dyDescent="0.3">
      <c r="A135" s="101">
        <v>46205</v>
      </c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50" t="s">
        <v>1066</v>
      </c>
      <c r="AV135" s="126"/>
      <c r="AW135" s="26">
        <f t="shared" si="8"/>
        <v>7</v>
      </c>
      <c r="AX135" s="26">
        <f t="shared" si="9"/>
        <v>2026</v>
      </c>
    </row>
    <row r="136" spans="1:55" ht="15.75" customHeight="1" x14ac:dyDescent="0.25">
      <c r="A136" s="28">
        <v>46206</v>
      </c>
      <c r="B136" s="37" t="s">
        <v>1109</v>
      </c>
      <c r="C136" s="37" t="s">
        <v>1114</v>
      </c>
      <c r="D136" s="37"/>
      <c r="E136" s="37"/>
      <c r="F136" s="37"/>
      <c r="G136" s="37"/>
      <c r="H136" s="37" t="s">
        <v>1110</v>
      </c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 t="s">
        <v>1111</v>
      </c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124" t="s">
        <v>1103</v>
      </c>
      <c r="AV136" s="124" t="s">
        <v>1106</v>
      </c>
      <c r="AW136" s="14">
        <f t="shared" si="8"/>
        <v>7</v>
      </c>
      <c r="AX136" s="14">
        <f t="shared" si="9"/>
        <v>2026</v>
      </c>
    </row>
    <row r="137" spans="1:55" ht="15.75" customHeight="1" x14ac:dyDescent="0.25">
      <c r="A137" s="11">
        <v>46206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 t="s">
        <v>1112</v>
      </c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17" t="s">
        <v>1105</v>
      </c>
      <c r="AV137" s="117" t="s">
        <v>1115</v>
      </c>
      <c r="AW137" s="14">
        <f t="shared" si="8"/>
        <v>7</v>
      </c>
      <c r="AX137" s="14">
        <f t="shared" si="9"/>
        <v>2026</v>
      </c>
    </row>
    <row r="138" spans="1:55" ht="15.75" customHeight="1" x14ac:dyDescent="0.25">
      <c r="A138" s="11">
        <v>46206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 t="s">
        <v>1113</v>
      </c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16" t="s">
        <v>1108</v>
      </c>
      <c r="AV138" s="116" t="s">
        <v>1117</v>
      </c>
      <c r="AW138" s="14">
        <f t="shared" si="8"/>
        <v>7</v>
      </c>
      <c r="AX138" s="14">
        <f t="shared" si="9"/>
        <v>2026</v>
      </c>
    </row>
    <row r="139" spans="1:55" ht="15.75" customHeight="1" x14ac:dyDescent="0.25">
      <c r="A139" s="11">
        <v>46206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17" t="s">
        <v>1107</v>
      </c>
      <c r="AV139" s="117" t="s">
        <v>1118</v>
      </c>
      <c r="AW139" s="14">
        <f t="shared" si="8"/>
        <v>7</v>
      </c>
      <c r="AX139" s="14">
        <f t="shared" si="9"/>
        <v>2026</v>
      </c>
    </row>
    <row r="140" spans="1:55" ht="15.75" customHeight="1" x14ac:dyDescent="0.25">
      <c r="A140" s="11">
        <v>46206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16" t="s">
        <v>1116</v>
      </c>
      <c r="AV140" s="116" t="s">
        <v>1119</v>
      </c>
      <c r="AW140" s="14">
        <f t="shared" si="8"/>
        <v>7</v>
      </c>
      <c r="AX140" s="14">
        <f t="shared" si="9"/>
        <v>2026</v>
      </c>
      <c r="BC140" s="37"/>
    </row>
    <row r="141" spans="1:55" ht="15.75" customHeight="1" x14ac:dyDescent="0.25">
      <c r="A141" s="11">
        <v>46206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17" t="s">
        <v>1120</v>
      </c>
      <c r="AV141" s="117" t="s">
        <v>1121</v>
      </c>
      <c r="AW141" s="14">
        <f t="shared" si="8"/>
        <v>7</v>
      </c>
      <c r="AX141" s="14">
        <f t="shared" si="9"/>
        <v>2026</v>
      </c>
      <c r="BC141" s="15"/>
    </row>
    <row r="142" spans="1:55" s="103" customFormat="1" ht="15.75" customHeight="1" thickBot="1" x14ac:dyDescent="0.3">
      <c r="A142" s="101">
        <v>46206</v>
      </c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25" t="s">
        <v>1104</v>
      </c>
      <c r="AV142" s="102"/>
      <c r="AW142" s="26">
        <f t="shared" si="8"/>
        <v>7</v>
      </c>
      <c r="AX142" s="26">
        <f t="shared" si="9"/>
        <v>2026</v>
      </c>
      <c r="BC142" s="102"/>
    </row>
    <row r="143" spans="1:55" ht="15.75" customHeight="1" x14ac:dyDescent="0.25">
      <c r="A143" s="28">
        <v>46209</v>
      </c>
      <c r="B143" s="29" t="s">
        <v>1159</v>
      </c>
      <c r="C143" s="29" t="s">
        <v>1174</v>
      </c>
      <c r="D143" s="29"/>
      <c r="E143" s="29"/>
      <c r="F143" s="29" t="s">
        <v>1165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 t="s">
        <v>1161</v>
      </c>
      <c r="S143" s="29"/>
      <c r="T143" s="29"/>
      <c r="U143" s="29" t="s">
        <v>1166</v>
      </c>
      <c r="V143" s="29"/>
      <c r="W143" s="29"/>
      <c r="X143" s="29"/>
      <c r="Y143" s="29"/>
      <c r="Z143" s="29" t="s">
        <v>1160</v>
      </c>
      <c r="AA143" s="29"/>
      <c r="AB143" s="29"/>
      <c r="AC143" s="29"/>
      <c r="AD143" s="29"/>
      <c r="AE143" s="29"/>
      <c r="AF143" s="29" t="s">
        <v>1168</v>
      </c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 t="s">
        <v>1194</v>
      </c>
      <c r="AS143" s="29"/>
      <c r="AT143" s="29"/>
      <c r="AU143" s="121" t="s">
        <v>1158</v>
      </c>
      <c r="AV143" s="121" t="s">
        <v>1162</v>
      </c>
      <c r="AW143" s="14">
        <f t="shared" si="8"/>
        <v>7</v>
      </c>
      <c r="AX143" s="14">
        <f t="shared" si="9"/>
        <v>2026</v>
      </c>
      <c r="BC143" s="29"/>
    </row>
    <row r="144" spans="1:55" ht="15.75" customHeight="1" x14ac:dyDescent="0.25">
      <c r="A144" s="11">
        <v>46209</v>
      </c>
      <c r="B144" s="12" t="s">
        <v>1187</v>
      </c>
      <c r="C144" s="12"/>
      <c r="D144" s="12"/>
      <c r="E144" s="12"/>
      <c r="F144" s="12" t="s">
        <v>1179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 t="s">
        <v>1178</v>
      </c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16" t="s">
        <v>1163</v>
      </c>
      <c r="AV144" s="116" t="s">
        <v>1172</v>
      </c>
      <c r="AW144" s="14">
        <f t="shared" si="8"/>
        <v>7</v>
      </c>
      <c r="AX144" s="14">
        <f t="shared" si="9"/>
        <v>2026</v>
      </c>
      <c r="BC144" s="12"/>
    </row>
    <row r="145" spans="1:55" ht="15.75" customHeight="1" x14ac:dyDescent="0.25">
      <c r="A145" s="11">
        <v>46209</v>
      </c>
      <c r="B145" s="15" t="s">
        <v>1191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 t="s">
        <v>1183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17" t="s">
        <v>1164</v>
      </c>
      <c r="AV145" s="117" t="s">
        <v>1173</v>
      </c>
      <c r="AW145" s="14">
        <f t="shared" si="8"/>
        <v>7</v>
      </c>
      <c r="AX145" s="14">
        <f t="shared" si="9"/>
        <v>2026</v>
      </c>
      <c r="BC145" s="15"/>
    </row>
    <row r="146" spans="1:55" ht="15.75" customHeight="1" x14ac:dyDescent="0.25">
      <c r="A146" s="11">
        <v>46209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 t="s">
        <v>1184</v>
      </c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16" t="s">
        <v>1167</v>
      </c>
      <c r="AV146" s="116" t="s">
        <v>1182</v>
      </c>
      <c r="AW146" s="14">
        <f t="shared" si="8"/>
        <v>7</v>
      </c>
      <c r="AX146" s="14">
        <f t="shared" si="9"/>
        <v>2026</v>
      </c>
    </row>
    <row r="147" spans="1:55" ht="15.75" customHeight="1" x14ac:dyDescent="0.25">
      <c r="A147" s="11">
        <v>46209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 t="s">
        <v>1192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17" t="s">
        <v>1169</v>
      </c>
      <c r="AV147" s="117" t="s">
        <v>1186</v>
      </c>
      <c r="AW147" s="14">
        <f t="shared" si="8"/>
        <v>7</v>
      </c>
      <c r="AX147" s="14">
        <f t="shared" si="9"/>
        <v>2026</v>
      </c>
    </row>
    <row r="148" spans="1:55" ht="15.75" customHeight="1" x14ac:dyDescent="0.25">
      <c r="A148" s="11">
        <v>46209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16" t="s">
        <v>1170</v>
      </c>
      <c r="AV148" s="116" t="s">
        <v>1188</v>
      </c>
      <c r="AW148" s="14">
        <f t="shared" si="8"/>
        <v>7</v>
      </c>
      <c r="AX148" s="14">
        <f t="shared" si="9"/>
        <v>2026</v>
      </c>
    </row>
    <row r="149" spans="1:55" ht="15.75" customHeight="1" x14ac:dyDescent="0.25">
      <c r="A149" s="11">
        <v>46209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17" t="s">
        <v>1171</v>
      </c>
      <c r="AV149" s="117" t="s">
        <v>1189</v>
      </c>
      <c r="AW149" s="14">
        <f t="shared" si="8"/>
        <v>7</v>
      </c>
      <c r="AX149" s="14">
        <f t="shared" si="9"/>
        <v>2026</v>
      </c>
    </row>
    <row r="150" spans="1:55" ht="15.75" customHeight="1" x14ac:dyDescent="0.25">
      <c r="A150" s="11">
        <v>46209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16" t="s">
        <v>1175</v>
      </c>
      <c r="AV150" s="12"/>
      <c r="AW150" s="14">
        <f t="shared" si="8"/>
        <v>7</v>
      </c>
      <c r="AX150" s="14">
        <f t="shared" si="9"/>
        <v>2026</v>
      </c>
    </row>
    <row r="151" spans="1:55" ht="15.75" customHeight="1" x14ac:dyDescent="0.25">
      <c r="A151" s="11">
        <v>46209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17" t="s">
        <v>1176</v>
      </c>
      <c r="AV151" s="15"/>
      <c r="AW151" s="14">
        <f t="shared" si="8"/>
        <v>7</v>
      </c>
      <c r="AX151" s="14">
        <f t="shared" si="9"/>
        <v>2026</v>
      </c>
    </row>
    <row r="152" spans="1:55" ht="15.75" customHeight="1" x14ac:dyDescent="0.25">
      <c r="A152" s="11">
        <v>46209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16" t="s">
        <v>1177</v>
      </c>
      <c r="AV152" s="12"/>
      <c r="AW152" s="14">
        <f t="shared" si="8"/>
        <v>7</v>
      </c>
      <c r="AX152" s="14">
        <f t="shared" si="9"/>
        <v>2026</v>
      </c>
    </row>
    <row r="153" spans="1:55" ht="15.75" customHeight="1" x14ac:dyDescent="0.25">
      <c r="A153" s="11">
        <v>46209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17" t="s">
        <v>1180</v>
      </c>
      <c r="AV153" s="15"/>
      <c r="AW153" s="14">
        <f t="shared" si="8"/>
        <v>7</v>
      </c>
      <c r="AX153" s="14">
        <f t="shared" si="9"/>
        <v>2026</v>
      </c>
    </row>
    <row r="154" spans="1:55" ht="15.75" customHeight="1" x14ac:dyDescent="0.25">
      <c r="A154" s="11">
        <v>46209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16" t="s">
        <v>1181</v>
      </c>
      <c r="AV154" s="12"/>
      <c r="AW154" s="14">
        <f t="shared" si="8"/>
        <v>7</v>
      </c>
      <c r="AX154" s="14">
        <f t="shared" si="9"/>
        <v>2026</v>
      </c>
    </row>
    <row r="155" spans="1:55" ht="15.75" customHeight="1" x14ac:dyDescent="0.25">
      <c r="A155" s="11">
        <v>46209</v>
      </c>
      <c r="B155" s="15" t="s">
        <v>272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17" t="s">
        <v>1185</v>
      </c>
      <c r="AV155" s="15"/>
      <c r="AW155" s="14">
        <f t="shared" si="8"/>
        <v>7</v>
      </c>
      <c r="AX155" s="14">
        <f t="shared" si="9"/>
        <v>2026</v>
      </c>
    </row>
    <row r="156" spans="1:55" ht="15.75" customHeight="1" x14ac:dyDescent="0.25">
      <c r="A156" s="11">
        <v>46209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16" t="s">
        <v>1190</v>
      </c>
      <c r="AV156" s="12"/>
      <c r="AW156" s="14">
        <f t="shared" si="8"/>
        <v>7</v>
      </c>
      <c r="AX156" s="14">
        <f t="shared" si="9"/>
        <v>2026</v>
      </c>
    </row>
    <row r="157" spans="1:55" s="103" customFormat="1" ht="15.75" customHeight="1" thickBot="1" x14ac:dyDescent="0.3">
      <c r="A157" s="101">
        <v>46209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50" t="s">
        <v>1193</v>
      </c>
      <c r="AV157" s="126"/>
      <c r="AW157" s="26">
        <f t="shared" si="8"/>
        <v>7</v>
      </c>
      <c r="AX157" s="26">
        <f t="shared" si="9"/>
        <v>2026</v>
      </c>
    </row>
    <row r="158" spans="1:55" ht="15.75" customHeight="1" x14ac:dyDescent="0.25">
      <c r="A158" s="28">
        <v>46210</v>
      </c>
      <c r="B158" s="37"/>
      <c r="C158" s="37" t="s">
        <v>1219</v>
      </c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 t="s">
        <v>1215</v>
      </c>
      <c r="Z158" s="37" t="s">
        <v>1220</v>
      </c>
      <c r="AA158" s="37"/>
      <c r="AB158" s="37"/>
      <c r="AC158" s="37"/>
      <c r="AD158" s="37"/>
      <c r="AE158" s="37"/>
      <c r="AF158" s="37" t="s">
        <v>1216</v>
      </c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124" t="s">
        <v>1217</v>
      </c>
      <c r="AW158" s="14">
        <f t="shared" si="8"/>
        <v>7</v>
      </c>
      <c r="AX158" s="14">
        <f t="shared" si="9"/>
        <v>2026</v>
      </c>
    </row>
    <row r="159" spans="1:55" ht="15.75" customHeight="1" thickBot="1" x14ac:dyDescent="0.3">
      <c r="A159" s="16">
        <v>46210</v>
      </c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 t="s">
        <v>1218</v>
      </c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14">
        <f t="shared" si="8"/>
        <v>7</v>
      </c>
      <c r="AX159" s="14">
        <f t="shared" si="9"/>
        <v>2026</v>
      </c>
    </row>
    <row r="160" spans="1:55" ht="15.75" customHeight="1" x14ac:dyDescent="0.25">
      <c r="A160" s="30">
        <v>46211</v>
      </c>
      <c r="B160" s="160"/>
      <c r="C160" s="160"/>
      <c r="D160" s="160"/>
      <c r="E160" s="160"/>
      <c r="F160" s="160" t="s">
        <v>1286</v>
      </c>
      <c r="G160" s="160"/>
      <c r="H160" s="160"/>
      <c r="I160" s="160" t="s">
        <v>1293</v>
      </c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 t="s">
        <v>1295</v>
      </c>
      <c r="Y160" s="160"/>
      <c r="Z160" s="160"/>
      <c r="AA160" s="160"/>
      <c r="AB160" s="160"/>
      <c r="AC160" s="160" t="s">
        <v>1292</v>
      </c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 t="s">
        <v>1283</v>
      </c>
      <c r="AR160" s="160"/>
      <c r="AS160" s="160"/>
      <c r="AT160" s="173" t="s">
        <v>218</v>
      </c>
      <c r="AU160" s="160"/>
      <c r="AV160" s="173" t="s">
        <v>1282</v>
      </c>
      <c r="AW160" s="47" t="s">
        <v>1280</v>
      </c>
      <c r="AX160" s="14">
        <f t="shared" ref="AX160:AX167" si="10">IF(A160="","",IF(ISNUMBER(A160),MONTH(A160),IFERROR(VALUE(MID(A160,FIND(".",A160)+1,FIND(".",A160,FIND(".",A160)+1)-FIND(".",A160)-1)),"")))</f>
        <v>7</v>
      </c>
      <c r="AY160" s="14">
        <f t="shared" ref="AY160:AY168" si="11">IF(A160="","",IF(ISNUMBER(A160),YEAR(A160),IFERROR(VALUE(RIGHT(A160,4)),"")))</f>
        <v>2026</v>
      </c>
    </row>
    <row r="161" spans="1:51" ht="15.75" customHeight="1" x14ac:dyDescent="0.25">
      <c r="A161" s="31">
        <v>46211</v>
      </c>
      <c r="B161" s="15"/>
      <c r="C161" s="15"/>
      <c r="D161" s="15"/>
      <c r="E161" s="15"/>
      <c r="F161" s="15" t="s">
        <v>1288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17" t="s">
        <v>1281</v>
      </c>
      <c r="AW161" s="33" t="s">
        <v>1289</v>
      </c>
      <c r="AX161" s="14">
        <f t="shared" si="10"/>
        <v>7</v>
      </c>
      <c r="AY161" s="14">
        <f t="shared" si="11"/>
        <v>2026</v>
      </c>
    </row>
    <row r="162" spans="1:51" ht="15.75" customHeight="1" x14ac:dyDescent="0.25">
      <c r="A162" s="31">
        <v>46211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16" t="s">
        <v>1284</v>
      </c>
      <c r="AW162" s="32"/>
      <c r="AX162" s="14">
        <f t="shared" si="10"/>
        <v>7</v>
      </c>
      <c r="AY162" s="14">
        <f t="shared" si="11"/>
        <v>2026</v>
      </c>
    </row>
    <row r="163" spans="1:51" ht="15.75" customHeight="1" x14ac:dyDescent="0.25">
      <c r="A163" s="31">
        <v>46211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17" t="s">
        <v>1285</v>
      </c>
      <c r="AW163" s="33"/>
      <c r="AX163" s="14">
        <f t="shared" si="10"/>
        <v>7</v>
      </c>
      <c r="AY163" s="14">
        <f t="shared" si="11"/>
        <v>2026</v>
      </c>
    </row>
    <row r="164" spans="1:51" ht="15.75" customHeight="1" x14ac:dyDescent="0.25">
      <c r="A164" s="31">
        <v>46211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16" t="s">
        <v>1287</v>
      </c>
      <c r="AW164" s="32"/>
      <c r="AX164" s="14">
        <f t="shared" si="10"/>
        <v>7</v>
      </c>
      <c r="AY164" s="14">
        <f t="shared" si="11"/>
        <v>2026</v>
      </c>
    </row>
    <row r="165" spans="1:51" ht="15.75" customHeight="1" x14ac:dyDescent="0.25">
      <c r="A165" s="31">
        <v>46211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17" t="s">
        <v>1290</v>
      </c>
      <c r="AW165" s="33"/>
      <c r="AX165" s="14">
        <f t="shared" si="10"/>
        <v>7</v>
      </c>
      <c r="AY165" s="14">
        <f t="shared" si="11"/>
        <v>2026</v>
      </c>
    </row>
    <row r="166" spans="1:51" ht="15.75" customHeight="1" x14ac:dyDescent="0.25">
      <c r="A166" s="31">
        <v>46211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16" t="s">
        <v>1291</v>
      </c>
      <c r="AW166" s="32"/>
      <c r="AX166" s="14">
        <f t="shared" si="10"/>
        <v>7</v>
      </c>
      <c r="AY166" s="14">
        <f t="shared" si="11"/>
        <v>2026</v>
      </c>
    </row>
    <row r="167" spans="1:51" ht="15.75" customHeight="1" thickBot="1" x14ac:dyDescent="0.3">
      <c r="A167" s="34">
        <v>46211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122" t="s">
        <v>1294</v>
      </c>
      <c r="AW167" s="36"/>
      <c r="AX167" s="14">
        <f t="shared" si="10"/>
        <v>7</v>
      </c>
      <c r="AY167" s="14">
        <f t="shared" si="11"/>
        <v>2026</v>
      </c>
    </row>
    <row r="168" spans="1:51" ht="15.75" customHeight="1" x14ac:dyDescent="0.25">
      <c r="A168" s="11">
        <v>46212</v>
      </c>
      <c r="B168" s="12"/>
      <c r="C168" s="12" t="s">
        <v>1345</v>
      </c>
      <c r="D168" s="12"/>
      <c r="E168" s="12"/>
      <c r="F168" s="12" t="s">
        <v>1337</v>
      </c>
      <c r="G168" s="12"/>
      <c r="H168" s="12" t="s">
        <v>1333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 t="s">
        <v>1332</v>
      </c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16" t="s">
        <v>1331</v>
      </c>
      <c r="AU168" s="116" t="s">
        <v>1334</v>
      </c>
      <c r="AV168" s="116" t="s">
        <v>1328</v>
      </c>
      <c r="AW168" s="14">
        <f t="shared" ref="AW168:AW197" si="12">IF(A168="","",IF(ISNUMBER(A168),MONTH(A168),IFERROR(VALUE(MID(A168,FIND(".",A168)+1,FIND(".",A168,FIND(".",A168)+1)-FIND(".",A168)-1)),"")))</f>
        <v>7</v>
      </c>
      <c r="AX168" s="14">
        <f t="shared" ref="AX168:AX197" si="13">IF(A168="","",IF(ISNUMBER(A168),YEAR(A168),IFERROR(VALUE(RIGHT(A168,4)),"")))</f>
        <v>2026</v>
      </c>
      <c r="AY168" s="14">
        <f t="shared" si="11"/>
        <v>2026</v>
      </c>
    </row>
    <row r="169" spans="1:51" ht="15.75" customHeight="1" x14ac:dyDescent="0.25">
      <c r="A169" s="11">
        <v>46212</v>
      </c>
      <c r="B169" s="15"/>
      <c r="C169" s="15"/>
      <c r="D169" s="15"/>
      <c r="E169" s="15"/>
      <c r="F169" s="15" t="s">
        <v>1339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17" t="s">
        <v>1336</v>
      </c>
      <c r="AU169" s="117" t="s">
        <v>1338</v>
      </c>
      <c r="AV169" s="117" t="s">
        <v>280</v>
      </c>
      <c r="AW169" s="14">
        <f t="shared" si="12"/>
        <v>7</v>
      </c>
      <c r="AX169" s="14">
        <f t="shared" si="13"/>
        <v>2026</v>
      </c>
    </row>
    <row r="170" spans="1:51" ht="15.75" customHeight="1" x14ac:dyDescent="0.25">
      <c r="A170" s="11">
        <v>46212</v>
      </c>
      <c r="B170" s="12"/>
      <c r="C170" s="12"/>
      <c r="D170" s="12"/>
      <c r="E170" s="12"/>
      <c r="F170" s="12" t="s">
        <v>1346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16" t="s">
        <v>1340</v>
      </c>
      <c r="AU170" s="116" t="s">
        <v>1341</v>
      </c>
      <c r="AV170" s="116" t="s">
        <v>1329</v>
      </c>
      <c r="AW170" s="14">
        <f t="shared" si="12"/>
        <v>7</v>
      </c>
      <c r="AX170" s="14">
        <f t="shared" si="13"/>
        <v>2026</v>
      </c>
    </row>
    <row r="171" spans="1:51" ht="15.75" customHeight="1" x14ac:dyDescent="0.25">
      <c r="A171" s="11">
        <v>46212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17" t="s">
        <v>1343</v>
      </c>
      <c r="AU171" s="15"/>
      <c r="AV171" s="117" t="s">
        <v>1330</v>
      </c>
      <c r="AW171" s="14">
        <f t="shared" si="12"/>
        <v>7</v>
      </c>
      <c r="AX171" s="14">
        <f t="shared" si="13"/>
        <v>2026</v>
      </c>
    </row>
    <row r="172" spans="1:51" ht="15.75" customHeight="1" x14ac:dyDescent="0.25">
      <c r="A172" s="11">
        <v>46212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16" t="s">
        <v>1335</v>
      </c>
      <c r="AW172" s="14">
        <f t="shared" si="12"/>
        <v>7</v>
      </c>
      <c r="AX172" s="14">
        <f t="shared" si="13"/>
        <v>2026</v>
      </c>
    </row>
    <row r="173" spans="1:51" ht="15.75" customHeight="1" x14ac:dyDescent="0.25">
      <c r="A173" s="11">
        <v>46212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17" t="s">
        <v>1342</v>
      </c>
      <c r="AW173" s="14">
        <f t="shared" si="12"/>
        <v>7</v>
      </c>
      <c r="AX173" s="14">
        <f t="shared" si="13"/>
        <v>2026</v>
      </c>
    </row>
    <row r="174" spans="1:51" ht="15.75" customHeight="1" thickBot="1" x14ac:dyDescent="0.3">
      <c r="A174" s="16">
        <v>46212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18" t="s">
        <v>1344</v>
      </c>
      <c r="AW174" s="14">
        <f t="shared" si="12"/>
        <v>7</v>
      </c>
      <c r="AX174" s="14">
        <f t="shared" si="13"/>
        <v>2026</v>
      </c>
    </row>
    <row r="175" spans="1:51" s="105" customFormat="1" ht="15.75" customHeight="1" x14ac:dyDescent="0.25">
      <c r="A175" s="18">
        <v>46213</v>
      </c>
      <c r="B175" s="20"/>
      <c r="C175" s="20" t="s">
        <v>1397</v>
      </c>
      <c r="D175" s="20"/>
      <c r="E175" s="20"/>
      <c r="F175" s="20" t="s">
        <v>1396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 t="s">
        <v>1392</v>
      </c>
      <c r="S175" s="20"/>
      <c r="T175" s="20"/>
      <c r="U175" s="20"/>
      <c r="V175" s="20"/>
      <c r="W175" s="20"/>
      <c r="X175" s="20"/>
      <c r="Y175" s="20" t="s">
        <v>1399</v>
      </c>
      <c r="Z175" s="20" t="s">
        <v>1391</v>
      </c>
      <c r="AA175" s="20"/>
      <c r="AB175" s="20"/>
      <c r="AC175" s="20"/>
      <c r="AD175" s="20"/>
      <c r="AE175" s="20"/>
      <c r="AF175" s="20" t="s">
        <v>1394</v>
      </c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119" t="s">
        <v>1404</v>
      </c>
      <c r="AV175" s="119" t="s">
        <v>1393</v>
      </c>
      <c r="AW175" s="104">
        <f t="shared" si="12"/>
        <v>7</v>
      </c>
      <c r="AX175" s="104">
        <f t="shared" si="13"/>
        <v>2026</v>
      </c>
    </row>
    <row r="176" spans="1:51" ht="15.75" customHeight="1" x14ac:dyDescent="0.25">
      <c r="A176" s="11">
        <v>46213</v>
      </c>
      <c r="B176" s="12"/>
      <c r="C176" s="12"/>
      <c r="D176" s="12"/>
      <c r="E176" s="12"/>
      <c r="F176" s="12" t="s">
        <v>1403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 t="s">
        <v>1400</v>
      </c>
      <c r="Z176" s="12" t="s">
        <v>1395</v>
      </c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16" t="s">
        <v>1406</v>
      </c>
      <c r="AW176" s="14">
        <f t="shared" si="12"/>
        <v>7</v>
      </c>
      <c r="AX176" s="14">
        <f t="shared" si="13"/>
        <v>2026</v>
      </c>
    </row>
    <row r="177" spans="1:50" ht="15.75" customHeight="1" x14ac:dyDescent="0.25">
      <c r="A177" s="11">
        <v>46213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 t="s">
        <v>1401</v>
      </c>
      <c r="Z177" s="15" t="s">
        <v>1398</v>
      </c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17" t="s">
        <v>1408</v>
      </c>
      <c r="AW177" s="14">
        <f t="shared" si="12"/>
        <v>7</v>
      </c>
      <c r="AX177" s="14">
        <f t="shared" si="13"/>
        <v>2026</v>
      </c>
    </row>
    <row r="178" spans="1:50" ht="15.75" customHeight="1" x14ac:dyDescent="0.25">
      <c r="A178" s="11">
        <v>46213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 t="s">
        <v>1402</v>
      </c>
      <c r="Z178" s="12" t="s">
        <v>1405</v>
      </c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4">
        <f t="shared" si="12"/>
        <v>7</v>
      </c>
      <c r="AX178" s="14">
        <f t="shared" si="13"/>
        <v>2026</v>
      </c>
    </row>
    <row r="179" spans="1:50" ht="15.75" customHeight="1" thickBot="1" x14ac:dyDescent="0.3">
      <c r="A179" s="16">
        <v>46213</v>
      </c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 t="s">
        <v>1407</v>
      </c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14">
        <f t="shared" si="12"/>
        <v>7</v>
      </c>
      <c r="AX179" s="14">
        <f t="shared" si="13"/>
        <v>2026</v>
      </c>
    </row>
    <row r="180" spans="1:50" s="105" customFormat="1" ht="15.75" customHeight="1" x14ac:dyDescent="0.25">
      <c r="A180" s="18">
        <v>46216</v>
      </c>
      <c r="B180" s="19"/>
      <c r="C180" s="19" t="s">
        <v>1455</v>
      </c>
      <c r="D180" s="19"/>
      <c r="E180" s="19"/>
      <c r="F180" s="19" t="s">
        <v>1434</v>
      </c>
      <c r="G180" s="19"/>
      <c r="H180" s="19" t="s">
        <v>1458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 t="s">
        <v>1435</v>
      </c>
      <c r="S180" s="19"/>
      <c r="T180" s="19"/>
      <c r="U180" s="19"/>
      <c r="V180" s="19"/>
      <c r="W180" s="19"/>
      <c r="X180" s="19"/>
      <c r="Y180" s="19" t="s">
        <v>1453</v>
      </c>
      <c r="Z180" s="19" t="s">
        <v>1451</v>
      </c>
      <c r="AA180" s="19"/>
      <c r="AB180" s="19"/>
      <c r="AC180" s="19"/>
      <c r="AD180" s="19"/>
      <c r="AE180" s="19"/>
      <c r="AF180" s="19" t="s">
        <v>1439</v>
      </c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 t="s">
        <v>1445</v>
      </c>
      <c r="AS180" s="19"/>
      <c r="AT180" s="153" t="s">
        <v>1462</v>
      </c>
      <c r="AU180" s="153" t="s">
        <v>1438</v>
      </c>
      <c r="AV180" s="153" t="s">
        <v>1436</v>
      </c>
      <c r="AW180" s="104">
        <f t="shared" si="12"/>
        <v>7</v>
      </c>
      <c r="AX180" s="104">
        <f t="shared" si="13"/>
        <v>2026</v>
      </c>
    </row>
    <row r="181" spans="1:50" ht="15.75" customHeight="1" x14ac:dyDescent="0.25">
      <c r="A181" s="11">
        <v>46216</v>
      </c>
      <c r="B181" s="15"/>
      <c r="C181" s="15"/>
      <c r="D181" s="15"/>
      <c r="E181" s="15"/>
      <c r="F181" s="15" t="s">
        <v>1437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 t="s">
        <v>1448</v>
      </c>
      <c r="S181" s="15"/>
      <c r="T181" s="15"/>
      <c r="U181" s="15"/>
      <c r="V181" s="15"/>
      <c r="W181" s="15"/>
      <c r="X181" s="15"/>
      <c r="Y181" s="15"/>
      <c r="Z181" s="15" t="s">
        <v>1464</v>
      </c>
      <c r="AA181" s="15"/>
      <c r="AB181" s="15"/>
      <c r="AC181" s="15"/>
      <c r="AD181" s="15"/>
      <c r="AE181" s="15"/>
      <c r="AF181" s="15" t="s">
        <v>1452</v>
      </c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 t="s">
        <v>1446</v>
      </c>
      <c r="AS181" s="15"/>
      <c r="AT181" s="15"/>
      <c r="AU181" s="117" t="s">
        <v>1440</v>
      </c>
      <c r="AV181" s="117" t="s">
        <v>1441</v>
      </c>
      <c r="AW181" s="14">
        <f t="shared" si="12"/>
        <v>7</v>
      </c>
      <c r="AX181" s="14">
        <f t="shared" si="13"/>
        <v>2026</v>
      </c>
    </row>
    <row r="182" spans="1:50" ht="15.75" customHeight="1" x14ac:dyDescent="0.25">
      <c r="A182" s="11">
        <v>46216</v>
      </c>
      <c r="B182" s="12"/>
      <c r="C182" s="12"/>
      <c r="D182" s="12"/>
      <c r="E182" s="12"/>
      <c r="F182" s="12" t="s">
        <v>1443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 t="s">
        <v>1450</v>
      </c>
      <c r="AS182" s="12"/>
      <c r="AT182" s="12"/>
      <c r="AU182" s="116" t="s">
        <v>1457</v>
      </c>
      <c r="AV182" s="116" t="s">
        <v>1442</v>
      </c>
      <c r="AW182" s="14">
        <f t="shared" si="12"/>
        <v>7</v>
      </c>
      <c r="AX182" s="14">
        <f t="shared" si="13"/>
        <v>2026</v>
      </c>
    </row>
    <row r="183" spans="1:50" ht="15.75" customHeight="1" x14ac:dyDescent="0.25">
      <c r="A183" s="11">
        <v>46216</v>
      </c>
      <c r="B183" s="15"/>
      <c r="C183" s="15"/>
      <c r="D183" s="15"/>
      <c r="E183" s="15"/>
      <c r="F183" s="15" t="s">
        <v>1454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17" t="s">
        <v>1460</v>
      </c>
      <c r="AV183" s="117" t="s">
        <v>1444</v>
      </c>
      <c r="AW183" s="14">
        <f t="shared" si="12"/>
        <v>7</v>
      </c>
      <c r="AX183" s="14">
        <f t="shared" si="13"/>
        <v>2026</v>
      </c>
    </row>
    <row r="184" spans="1:50" ht="15.75" customHeight="1" x14ac:dyDescent="0.25">
      <c r="A184" s="11">
        <v>46216</v>
      </c>
      <c r="B184" s="12"/>
      <c r="C184" s="12"/>
      <c r="D184" s="12"/>
      <c r="E184" s="12"/>
      <c r="F184" s="12" t="s">
        <v>1459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16" t="s">
        <v>1463</v>
      </c>
      <c r="AV184" s="116" t="s">
        <v>1447</v>
      </c>
      <c r="AW184" s="14">
        <f t="shared" si="12"/>
        <v>7</v>
      </c>
      <c r="AX184" s="14">
        <f t="shared" si="13"/>
        <v>2026</v>
      </c>
    </row>
    <row r="185" spans="1:50" ht="15.75" customHeight="1" x14ac:dyDescent="0.25">
      <c r="A185" s="11">
        <v>46216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17" t="s">
        <v>1463</v>
      </c>
      <c r="AV185" s="117" t="s">
        <v>1449</v>
      </c>
      <c r="AW185" s="14">
        <f t="shared" si="12"/>
        <v>7</v>
      </c>
      <c r="AX185" s="14">
        <f t="shared" si="13"/>
        <v>2026</v>
      </c>
    </row>
    <row r="186" spans="1:50" ht="15.75" customHeight="1" x14ac:dyDescent="0.25">
      <c r="A186" s="11">
        <v>46216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16" t="s">
        <v>280</v>
      </c>
      <c r="AW186" s="14">
        <f t="shared" si="12"/>
        <v>7</v>
      </c>
      <c r="AX186" s="14">
        <f t="shared" si="13"/>
        <v>2026</v>
      </c>
    </row>
    <row r="187" spans="1:50" ht="15.75" customHeight="1" x14ac:dyDescent="0.25">
      <c r="A187" s="11">
        <v>46216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17" t="s">
        <v>1456</v>
      </c>
      <c r="AW187" s="14">
        <f t="shared" si="12"/>
        <v>7</v>
      </c>
      <c r="AX187" s="14">
        <f t="shared" si="13"/>
        <v>2026</v>
      </c>
    </row>
    <row r="188" spans="1:50" s="103" customFormat="1" ht="15.75" customHeight="1" thickBot="1" x14ac:dyDescent="0.3">
      <c r="A188" s="101">
        <v>46216</v>
      </c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25" t="s">
        <v>1461</v>
      </c>
      <c r="AW188" s="26">
        <f t="shared" si="12"/>
        <v>7</v>
      </c>
      <c r="AX188" s="26">
        <f t="shared" si="13"/>
        <v>2026</v>
      </c>
    </row>
    <row r="189" spans="1:50" ht="15.75" customHeight="1" x14ac:dyDescent="0.25">
      <c r="A189" s="28">
        <v>46217</v>
      </c>
      <c r="B189" s="29"/>
      <c r="C189" s="29" t="s">
        <v>1524</v>
      </c>
      <c r="D189" s="29"/>
      <c r="E189" s="29"/>
      <c r="F189" s="29"/>
      <c r="G189" s="29"/>
      <c r="H189" s="29" t="s">
        <v>1521</v>
      </c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 t="s">
        <v>1514</v>
      </c>
      <c r="Z189" s="29" t="s">
        <v>1519</v>
      </c>
      <c r="AA189" s="29"/>
      <c r="AB189" s="29"/>
      <c r="AC189" s="29"/>
      <c r="AD189" s="29"/>
      <c r="AE189" s="29"/>
      <c r="AF189" s="29" t="s">
        <v>1523</v>
      </c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121" t="s">
        <v>1516</v>
      </c>
      <c r="AU189" s="121" t="s">
        <v>1515</v>
      </c>
      <c r="AV189" s="121" t="s">
        <v>1528</v>
      </c>
      <c r="AW189" s="14">
        <f t="shared" si="12"/>
        <v>7</v>
      </c>
      <c r="AX189" s="14">
        <f t="shared" si="13"/>
        <v>2026</v>
      </c>
    </row>
    <row r="190" spans="1:50" ht="15.75" customHeight="1" x14ac:dyDescent="0.25">
      <c r="A190" s="11">
        <v>46217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 t="s">
        <v>1517</v>
      </c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16" t="s">
        <v>1518</v>
      </c>
      <c r="AV190" s="12"/>
      <c r="AW190" s="14">
        <f t="shared" si="12"/>
        <v>7</v>
      </c>
      <c r="AX190" s="14">
        <f t="shared" si="13"/>
        <v>2026</v>
      </c>
    </row>
    <row r="191" spans="1:50" ht="15.75" customHeight="1" x14ac:dyDescent="0.25">
      <c r="A191" s="11">
        <v>46217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17" t="s">
        <v>1520</v>
      </c>
      <c r="AV191" s="15"/>
      <c r="AW191" s="14">
        <f t="shared" si="12"/>
        <v>7</v>
      </c>
      <c r="AX191" s="14">
        <f t="shared" si="13"/>
        <v>2026</v>
      </c>
    </row>
    <row r="192" spans="1:50" ht="15.75" customHeight="1" x14ac:dyDescent="0.25">
      <c r="A192" s="11">
        <v>46217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16" t="s">
        <v>1522</v>
      </c>
      <c r="AV192" s="12"/>
      <c r="AW192" s="14">
        <f t="shared" si="12"/>
        <v>7</v>
      </c>
      <c r="AX192" s="14">
        <f t="shared" si="13"/>
        <v>2026</v>
      </c>
    </row>
    <row r="193" spans="1:50" ht="15.75" customHeight="1" x14ac:dyDescent="0.25">
      <c r="A193" s="11">
        <v>46217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17" t="s">
        <v>1525</v>
      </c>
      <c r="AV193" s="15"/>
      <c r="AW193" s="14">
        <f t="shared" si="12"/>
        <v>7</v>
      </c>
      <c r="AX193" s="14">
        <f t="shared" si="13"/>
        <v>2026</v>
      </c>
    </row>
    <row r="194" spans="1:50" ht="15.75" customHeight="1" x14ac:dyDescent="0.25">
      <c r="A194" s="11">
        <v>46217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16" t="s">
        <v>1526</v>
      </c>
      <c r="AV194" s="12"/>
      <c r="AW194" s="14">
        <f t="shared" si="12"/>
        <v>7</v>
      </c>
      <c r="AX194" s="14">
        <f t="shared" si="13"/>
        <v>2026</v>
      </c>
    </row>
    <row r="195" spans="1:50" s="103" customFormat="1" ht="15.75" customHeight="1" thickBot="1" x14ac:dyDescent="0.3">
      <c r="A195" s="101">
        <v>46217</v>
      </c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50" t="s">
        <v>1527</v>
      </c>
      <c r="AV195" s="126"/>
      <c r="AW195" s="26">
        <f t="shared" si="12"/>
        <v>7</v>
      </c>
      <c r="AX195" s="26">
        <f t="shared" si="13"/>
        <v>2026</v>
      </c>
    </row>
    <row r="196" spans="1:50" ht="15.75" customHeight="1" x14ac:dyDescent="0.25">
      <c r="A196" s="28">
        <v>46218</v>
      </c>
      <c r="B196" s="37" t="s">
        <v>1568</v>
      </c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 t="s">
        <v>1562</v>
      </c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 t="s">
        <v>1566</v>
      </c>
      <c r="AS196" s="37"/>
      <c r="AT196" s="124" t="s">
        <v>1559</v>
      </c>
      <c r="AU196" s="124" t="s">
        <v>1564</v>
      </c>
      <c r="AV196" s="124" t="s">
        <v>1560</v>
      </c>
      <c r="AW196" s="14">
        <f t="shared" si="12"/>
        <v>7</v>
      </c>
      <c r="AX196" s="14">
        <f t="shared" si="13"/>
        <v>2026</v>
      </c>
    </row>
    <row r="197" spans="1:50" ht="15.75" customHeight="1" x14ac:dyDescent="0.25">
      <c r="A197" s="11">
        <v>46218</v>
      </c>
      <c r="B197" s="15" t="s">
        <v>1577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 t="s">
        <v>1563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17" t="s">
        <v>1565</v>
      </c>
      <c r="AV197" s="117" t="s">
        <v>1561</v>
      </c>
      <c r="AW197" s="14">
        <f t="shared" si="12"/>
        <v>7</v>
      </c>
      <c r="AX197" s="14">
        <f t="shared" si="13"/>
        <v>2026</v>
      </c>
    </row>
    <row r="198" spans="1:50" ht="15.75" customHeight="1" x14ac:dyDescent="0.25">
      <c r="A198" s="11">
        <v>46218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 t="s">
        <v>1572</v>
      </c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16" t="s">
        <v>1569</v>
      </c>
      <c r="AV198" s="116" t="s">
        <v>1567</v>
      </c>
      <c r="AW198" s="14">
        <f t="shared" ref="AW198:AW205" si="14">IF(A198="","",IF(ISNUMBER(A198),MONTH(A198),IFERROR(VALUE(MID(A198,FIND(".",A198)+1,FIND(".",A198,FIND(".",A198)+1)-FIND(".",A198)-1)),"")))</f>
        <v>7</v>
      </c>
      <c r="AX198" s="14">
        <f t="shared" ref="AX198:AX205" si="15">IF(A198="","",IF(ISNUMBER(A198),YEAR(A198),IFERROR(VALUE(RIGHT(A198,4)),"")))</f>
        <v>2026</v>
      </c>
    </row>
    <row r="199" spans="1:50" ht="15.75" customHeight="1" x14ac:dyDescent="0.25">
      <c r="A199" s="11">
        <v>46218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 t="s">
        <v>1574</v>
      </c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17" t="s">
        <v>1570</v>
      </c>
      <c r="AV199" s="117" t="s">
        <v>260</v>
      </c>
      <c r="AW199" s="14">
        <f t="shared" si="14"/>
        <v>7</v>
      </c>
      <c r="AX199" s="14">
        <f t="shared" si="15"/>
        <v>2026</v>
      </c>
    </row>
    <row r="200" spans="1:50" ht="15.75" customHeight="1" x14ac:dyDescent="0.25">
      <c r="A200" s="11">
        <v>46218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 t="s">
        <v>1575</v>
      </c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16" t="s">
        <v>1571</v>
      </c>
      <c r="AV200" s="12"/>
      <c r="AW200" s="14">
        <f t="shared" si="14"/>
        <v>7</v>
      </c>
      <c r="AX200" s="14">
        <f t="shared" si="15"/>
        <v>2026</v>
      </c>
    </row>
    <row r="201" spans="1:50" ht="15.75" customHeight="1" x14ac:dyDescent="0.25">
      <c r="A201" s="11">
        <v>46218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 t="s">
        <v>1576</v>
      </c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17" t="s">
        <v>1573</v>
      </c>
      <c r="AV201" s="15"/>
      <c r="AW201" s="14">
        <f t="shared" si="14"/>
        <v>7</v>
      </c>
      <c r="AX201" s="14">
        <f t="shared" si="15"/>
        <v>2026</v>
      </c>
    </row>
    <row r="202" spans="1:50" ht="15.75" customHeight="1" thickBot="1" x14ac:dyDescent="0.3">
      <c r="A202" s="16">
        <v>46218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 t="s">
        <v>1578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18" t="s">
        <v>1579</v>
      </c>
      <c r="AV202" s="17"/>
      <c r="AW202" s="14">
        <f t="shared" si="14"/>
        <v>7</v>
      </c>
      <c r="AX202" s="14">
        <f t="shared" si="15"/>
        <v>2026</v>
      </c>
    </row>
    <row r="203" spans="1:50" s="105" customFormat="1" ht="15.75" customHeight="1" x14ac:dyDescent="0.25">
      <c r="A203" s="18">
        <v>46219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 t="s">
        <v>1609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119" t="s">
        <v>233</v>
      </c>
      <c r="AU203" s="119" t="s">
        <v>1611</v>
      </c>
      <c r="AV203" s="119" t="s">
        <v>1608</v>
      </c>
      <c r="AW203" s="104">
        <f t="shared" si="14"/>
        <v>7</v>
      </c>
      <c r="AX203" s="104">
        <f t="shared" si="15"/>
        <v>2026</v>
      </c>
    </row>
    <row r="204" spans="1:50" ht="15.75" customHeight="1" x14ac:dyDescent="0.25">
      <c r="A204" s="11">
        <v>46219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16" t="s">
        <v>1613</v>
      </c>
      <c r="AV204" s="116" t="s">
        <v>1610</v>
      </c>
      <c r="AW204" s="14">
        <f t="shared" si="14"/>
        <v>7</v>
      </c>
      <c r="AX204" s="14">
        <f t="shared" si="15"/>
        <v>2026</v>
      </c>
    </row>
    <row r="205" spans="1:50" ht="15.75" customHeight="1" x14ac:dyDescent="0.25">
      <c r="A205" s="11">
        <v>46219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17" t="s">
        <v>1614</v>
      </c>
      <c r="AV205" s="117" t="s">
        <v>1612</v>
      </c>
      <c r="AW205" s="14">
        <f t="shared" si="14"/>
        <v>7</v>
      </c>
      <c r="AX205" s="14">
        <f t="shared" si="15"/>
        <v>2026</v>
      </c>
    </row>
    <row r="206" spans="1:50" ht="36" x14ac:dyDescent="0.25">
      <c r="A206" s="11">
        <v>46219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16" t="s">
        <v>1616</v>
      </c>
      <c r="AV206" s="116" t="s">
        <v>1615</v>
      </c>
    </row>
    <row r="207" spans="1:50" ht="36" x14ac:dyDescent="0.25">
      <c r="A207" s="11">
        <v>46219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17" t="s">
        <v>1619</v>
      </c>
      <c r="AV207" s="117" t="s">
        <v>1617</v>
      </c>
    </row>
    <row r="208" spans="1:50" s="103" customFormat="1" ht="36.75" thickBot="1" x14ac:dyDescent="0.3">
      <c r="A208" s="101">
        <v>46219</v>
      </c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25" t="s">
        <v>1620</v>
      </c>
      <c r="AV208" s="125" t="s">
        <v>1618</v>
      </c>
      <c r="AW208" s="27"/>
      <c r="AX208" s="27"/>
    </row>
    <row r="209" spans="1:50" ht="36" x14ac:dyDescent="0.25">
      <c r="A209" s="28">
        <v>46220</v>
      </c>
      <c r="B209" s="29" t="s">
        <v>1654</v>
      </c>
      <c r="C209" s="29" t="s">
        <v>1660</v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 t="s">
        <v>1648</v>
      </c>
      <c r="AA209" s="29"/>
      <c r="AB209" s="29"/>
      <c r="AC209" s="29"/>
      <c r="AD209" s="29"/>
      <c r="AE209" s="29"/>
      <c r="AF209" s="29" t="s">
        <v>1659</v>
      </c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121" t="s">
        <v>1649</v>
      </c>
      <c r="AU209" s="121" t="s">
        <v>1653</v>
      </c>
      <c r="AV209" s="121" t="s">
        <v>1647</v>
      </c>
    </row>
    <row r="210" spans="1:50" ht="36" x14ac:dyDescent="0.25">
      <c r="A210" s="11">
        <v>46220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 t="s">
        <v>1655</v>
      </c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16" t="s">
        <v>1650</v>
      </c>
    </row>
    <row r="211" spans="1:50" ht="36" x14ac:dyDescent="0.25">
      <c r="A211" s="11">
        <v>46220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 t="s">
        <v>1658</v>
      </c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17" t="s">
        <v>1651</v>
      </c>
    </row>
    <row r="212" spans="1:50" ht="36" x14ac:dyDescent="0.25">
      <c r="A212" s="11">
        <v>46220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16" t="s">
        <v>1652</v>
      </c>
    </row>
    <row r="213" spans="1:50" ht="36" x14ac:dyDescent="0.25">
      <c r="A213" s="11">
        <v>46220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17" t="s">
        <v>1656</v>
      </c>
    </row>
    <row r="214" spans="1:50" s="103" customFormat="1" ht="36.75" thickBot="1" x14ac:dyDescent="0.3">
      <c r="A214" s="101">
        <v>46220</v>
      </c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25" t="s">
        <v>1657</v>
      </c>
      <c r="AW214" s="27"/>
      <c r="AX214" s="27"/>
    </row>
    <row r="215" spans="1:50" ht="36" x14ac:dyDescent="0.25">
      <c r="A215" s="28">
        <v>46223</v>
      </c>
      <c r="B215" s="29" t="s">
        <v>1684</v>
      </c>
      <c r="C215" s="29"/>
      <c r="D215" s="29"/>
      <c r="E215" s="29"/>
      <c r="F215" s="29"/>
      <c r="G215" s="29"/>
      <c r="H215" s="29"/>
      <c r="I215" s="29"/>
      <c r="J215" s="29" t="s">
        <v>1683</v>
      </c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 t="s">
        <v>1688</v>
      </c>
      <c r="Z215" s="29" t="s">
        <v>1689</v>
      </c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121" t="s">
        <v>1687</v>
      </c>
      <c r="AV215" s="121" t="s">
        <v>1685</v>
      </c>
    </row>
    <row r="216" spans="1:50" ht="36" x14ac:dyDescent="0.25">
      <c r="A216" s="11">
        <v>46223</v>
      </c>
      <c r="B216" s="12" t="s">
        <v>245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 t="s">
        <v>1691</v>
      </c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16" t="s">
        <v>1690</v>
      </c>
      <c r="AV216" s="116" t="s">
        <v>1686</v>
      </c>
    </row>
    <row r="217" spans="1:50" s="103" customFormat="1" ht="36.75" thickBot="1" x14ac:dyDescent="0.3">
      <c r="A217" s="101">
        <v>46223</v>
      </c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50" t="s">
        <v>1693</v>
      </c>
      <c r="AV217" s="150" t="s">
        <v>1692</v>
      </c>
      <c r="AW217" s="27"/>
      <c r="AX217" s="27"/>
    </row>
    <row r="218" spans="1:50" ht="36" x14ac:dyDescent="0.25">
      <c r="A218" s="28">
        <v>46224</v>
      </c>
      <c r="B218" s="37" t="s">
        <v>1724</v>
      </c>
      <c r="C218" s="37" t="s">
        <v>1727</v>
      </c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 t="s">
        <v>1719</v>
      </c>
      <c r="Z218" s="37" t="s">
        <v>1720</v>
      </c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124" t="s">
        <v>1732</v>
      </c>
      <c r="AU218" s="124" t="s">
        <v>1721</v>
      </c>
      <c r="AV218" s="124" t="s">
        <v>1722</v>
      </c>
    </row>
    <row r="219" spans="1:50" ht="36" x14ac:dyDescent="0.25">
      <c r="A219" s="11">
        <v>46224</v>
      </c>
      <c r="B219" s="15" t="s">
        <v>1725</v>
      </c>
      <c r="C219" s="15" t="s">
        <v>1736</v>
      </c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 t="s">
        <v>1734</v>
      </c>
      <c r="Z219" s="37" t="s">
        <v>216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17" t="s">
        <v>1735</v>
      </c>
      <c r="AU219" s="117" t="s">
        <v>1729</v>
      </c>
      <c r="AV219" s="117" t="s">
        <v>1726</v>
      </c>
    </row>
    <row r="220" spans="1:50" ht="36" x14ac:dyDescent="0.25">
      <c r="A220" s="11">
        <v>46224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 t="s">
        <v>1737</v>
      </c>
      <c r="Z220" s="12" t="s">
        <v>1723</v>
      </c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16" t="s">
        <v>1730</v>
      </c>
      <c r="AV220" s="116" t="s">
        <v>1733</v>
      </c>
    </row>
    <row r="221" spans="1:50" s="103" customFormat="1" ht="36.75" thickBot="1" x14ac:dyDescent="0.3">
      <c r="A221" s="101">
        <v>46224</v>
      </c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 t="s">
        <v>1738</v>
      </c>
      <c r="Z221" s="126" t="s">
        <v>1728</v>
      </c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50" t="s">
        <v>1731</v>
      </c>
      <c r="AV221" s="150" t="s">
        <v>1739</v>
      </c>
      <c r="AW221" s="27"/>
      <c r="AX221" s="27"/>
    </row>
    <row r="222" spans="1:50" ht="36" x14ac:dyDescent="0.25">
      <c r="A222" s="28">
        <v>46225</v>
      </c>
      <c r="B222" s="37"/>
      <c r="C222" s="37" t="s">
        <v>1776</v>
      </c>
      <c r="D222" s="37"/>
      <c r="E222" s="37"/>
      <c r="F222" s="37"/>
      <c r="G222" s="37"/>
      <c r="H222" s="37"/>
      <c r="I222" s="37"/>
      <c r="J222" s="37" t="s">
        <v>1780</v>
      </c>
      <c r="K222" s="37"/>
      <c r="L222" s="37" t="s">
        <v>1792</v>
      </c>
      <c r="M222" s="37"/>
      <c r="N222" s="37"/>
      <c r="O222" s="37"/>
      <c r="P222" s="37"/>
      <c r="Q222" s="37"/>
      <c r="R222" s="37" t="s">
        <v>1790</v>
      </c>
      <c r="S222" s="37"/>
      <c r="T222" s="37"/>
      <c r="U222" s="37"/>
      <c r="V222" s="37"/>
      <c r="W222" s="37"/>
      <c r="X222" s="37"/>
      <c r="Y222" s="37" t="s">
        <v>1782</v>
      </c>
      <c r="Z222" s="37" t="s">
        <v>1778</v>
      </c>
      <c r="AA222" s="37"/>
      <c r="AB222" s="37"/>
      <c r="AC222" s="37"/>
      <c r="AD222" s="37"/>
      <c r="AE222" s="37"/>
      <c r="AF222" s="37" t="s">
        <v>1787</v>
      </c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124" t="s">
        <v>1793</v>
      </c>
      <c r="AU222" s="124" t="s">
        <v>1783</v>
      </c>
      <c r="AV222" s="124" t="s">
        <v>1777</v>
      </c>
    </row>
    <row r="223" spans="1:50" ht="36" x14ac:dyDescent="0.25">
      <c r="A223" s="11">
        <v>46225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 t="s">
        <v>1791</v>
      </c>
      <c r="S223" s="15"/>
      <c r="T223" s="15"/>
      <c r="U223" s="15"/>
      <c r="V223" s="15"/>
      <c r="W223" s="15"/>
      <c r="X223" s="15"/>
      <c r="Y223" s="15" t="s">
        <v>1784</v>
      </c>
      <c r="Z223" s="15" t="s">
        <v>1779</v>
      </c>
      <c r="AA223" s="15"/>
      <c r="AB223" s="15"/>
      <c r="AC223" s="15"/>
      <c r="AD223" s="15"/>
      <c r="AE223" s="15"/>
      <c r="AF223" s="15" t="s">
        <v>1789</v>
      </c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17" t="s">
        <v>1794</v>
      </c>
      <c r="AU223" s="117" t="s">
        <v>1786</v>
      </c>
      <c r="AV223" s="117" t="s">
        <v>1781</v>
      </c>
    </row>
    <row r="224" spans="1:50" ht="36" x14ac:dyDescent="0.25">
      <c r="A224" s="11">
        <v>46225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 t="s">
        <v>1784</v>
      </c>
      <c r="Z224" s="12" t="s">
        <v>1785</v>
      </c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53" s="103" customFormat="1" ht="36.75" thickBot="1" x14ac:dyDescent="0.3">
      <c r="A225" s="101">
        <v>46225</v>
      </c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 t="s">
        <v>1788</v>
      </c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27"/>
      <c r="AX225" s="27"/>
    </row>
    <row r="226" spans="1:53" ht="36" x14ac:dyDescent="0.25">
      <c r="A226" s="28">
        <v>46226</v>
      </c>
      <c r="B226" s="37"/>
      <c r="C226" s="37" t="s">
        <v>1813</v>
      </c>
      <c r="D226" s="37"/>
      <c r="E226" s="37"/>
      <c r="F226" s="37"/>
      <c r="G226" s="37" t="s">
        <v>1811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 t="s">
        <v>1837</v>
      </c>
      <c r="S226" s="37"/>
      <c r="T226" s="37"/>
      <c r="U226" s="37"/>
      <c r="V226" s="37"/>
      <c r="W226" s="37"/>
      <c r="X226" s="37"/>
      <c r="Y226" s="37"/>
      <c r="Z226" s="37" t="s">
        <v>244</v>
      </c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124" t="s">
        <v>1820</v>
      </c>
      <c r="AU226" s="124" t="s">
        <v>1812</v>
      </c>
      <c r="AV226" s="124" t="s">
        <v>1814</v>
      </c>
    </row>
    <row r="227" spans="1:53" ht="36" x14ac:dyDescent="0.25">
      <c r="A227" s="11">
        <v>46226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 t="s">
        <v>1817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17" t="s">
        <v>1815</v>
      </c>
      <c r="AV227" s="117" t="s">
        <v>1816</v>
      </c>
    </row>
    <row r="228" spans="1:53" ht="36" x14ac:dyDescent="0.25">
      <c r="A228" s="11">
        <v>46226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 t="s">
        <v>1819</v>
      </c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16" t="s">
        <v>1818</v>
      </c>
      <c r="AV228" s="12"/>
    </row>
    <row r="229" spans="1:53" ht="36" x14ac:dyDescent="0.25">
      <c r="A229" s="11">
        <v>46226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 t="s">
        <v>1821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</row>
    <row r="230" spans="1:53" s="103" customFormat="1" ht="36.75" thickBot="1" x14ac:dyDescent="0.3">
      <c r="A230" s="101">
        <v>46226</v>
      </c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 t="s">
        <v>1822</v>
      </c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27"/>
      <c r="AX230" s="27"/>
    </row>
    <row r="231" spans="1:53" ht="36" x14ac:dyDescent="0.25">
      <c r="A231" s="28">
        <v>46227</v>
      </c>
      <c r="B231" s="29" t="s">
        <v>1845</v>
      </c>
      <c r="C231" s="29" t="s">
        <v>1842</v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 t="s">
        <v>1840</v>
      </c>
      <c r="V231" s="29"/>
      <c r="W231" s="29"/>
      <c r="X231" s="29"/>
      <c r="Y231" s="29"/>
      <c r="Z231" s="29" t="s">
        <v>1834</v>
      </c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121" t="s">
        <v>1829</v>
      </c>
      <c r="AU231" s="121" t="s">
        <v>1831</v>
      </c>
      <c r="AV231" s="121" t="s">
        <v>1832</v>
      </c>
    </row>
    <row r="232" spans="1:53" ht="36" x14ac:dyDescent="0.25">
      <c r="A232" s="11">
        <v>46227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 t="s">
        <v>1836</v>
      </c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16" t="s">
        <v>1830</v>
      </c>
      <c r="AU232" s="116" t="s">
        <v>1839</v>
      </c>
      <c r="AV232" s="116" t="s">
        <v>1835</v>
      </c>
    </row>
    <row r="233" spans="1:53" ht="36" x14ac:dyDescent="0.25">
      <c r="A233" s="11">
        <v>46227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 t="s">
        <v>1838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17" t="s">
        <v>1833</v>
      </c>
      <c r="AU233" s="117" t="s">
        <v>1843</v>
      </c>
      <c r="AV233" s="117" t="s">
        <v>1842</v>
      </c>
    </row>
    <row r="234" spans="1:53" s="103" customFormat="1" ht="36.75" thickBot="1" x14ac:dyDescent="0.3">
      <c r="A234" s="101">
        <v>46227</v>
      </c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 t="s">
        <v>1841</v>
      </c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25" t="s">
        <v>1844</v>
      </c>
      <c r="AW234" s="27"/>
      <c r="AX234" s="27"/>
    </row>
    <row r="235" spans="1:53" ht="36" x14ac:dyDescent="0.25">
      <c r="A235" s="28">
        <v>46230</v>
      </c>
      <c r="B235" s="29" t="s">
        <v>1925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 t="s">
        <v>1928</v>
      </c>
      <c r="Z235" s="29" t="s">
        <v>1923</v>
      </c>
      <c r="AA235" s="29"/>
      <c r="AB235" s="29"/>
      <c r="AC235" s="29"/>
      <c r="AD235" s="29"/>
      <c r="AE235" s="29"/>
      <c r="AF235" s="29" t="s">
        <v>1926</v>
      </c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121" t="s">
        <v>1922</v>
      </c>
      <c r="AU235" s="121" t="s">
        <v>1920</v>
      </c>
      <c r="AV235" s="153" t="s">
        <v>1921</v>
      </c>
    </row>
    <row r="236" spans="1:53" ht="36" x14ac:dyDescent="0.25">
      <c r="A236" s="11">
        <v>46230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 t="s">
        <v>1933</v>
      </c>
      <c r="Z236" s="12" t="s">
        <v>1927</v>
      </c>
      <c r="AA236" s="12"/>
      <c r="AB236" s="12"/>
      <c r="AC236" s="12"/>
      <c r="AD236" s="12"/>
      <c r="AE236" s="12"/>
      <c r="AF236" s="12" t="s">
        <v>1929</v>
      </c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16" t="s">
        <v>1936</v>
      </c>
      <c r="AV236" s="117" t="s">
        <v>1924</v>
      </c>
    </row>
    <row r="237" spans="1:53" ht="36" x14ac:dyDescent="0.25">
      <c r="A237" s="11">
        <v>46230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 t="s">
        <v>1930</v>
      </c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16" t="s">
        <v>1931</v>
      </c>
    </row>
    <row r="238" spans="1:53" ht="36" x14ac:dyDescent="0.25">
      <c r="A238" s="11">
        <v>46230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 t="s">
        <v>1932</v>
      </c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17" t="s">
        <v>1934</v>
      </c>
    </row>
    <row r="239" spans="1:53" s="103" customFormat="1" ht="36.75" thickBot="1" x14ac:dyDescent="0.3">
      <c r="A239" s="101">
        <v>46230</v>
      </c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 t="s">
        <v>1935</v>
      </c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27"/>
      <c r="AX239" s="27"/>
    </row>
    <row r="240" spans="1:53" ht="36" x14ac:dyDescent="0.25">
      <c r="A240" s="28">
        <v>46231</v>
      </c>
      <c r="B240" s="37"/>
      <c r="C240" s="37" t="s">
        <v>2039</v>
      </c>
      <c r="D240" s="37"/>
      <c r="E240" s="37"/>
      <c r="F240" s="37" t="s">
        <v>2037</v>
      </c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 t="s">
        <v>2035</v>
      </c>
      <c r="Z240" s="37" t="s">
        <v>2036</v>
      </c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124" t="s">
        <v>2042</v>
      </c>
      <c r="AU240" s="124" t="s">
        <v>2046</v>
      </c>
      <c r="AV240" s="124" t="s">
        <v>2040</v>
      </c>
      <c r="BA240" s="182" t="s">
        <v>2122</v>
      </c>
    </row>
    <row r="241" spans="1:50" ht="36" x14ac:dyDescent="0.25">
      <c r="A241" s="11">
        <v>46231</v>
      </c>
      <c r="B241" s="15"/>
      <c r="C241" s="15"/>
      <c r="D241" s="15"/>
      <c r="E241" s="15"/>
      <c r="F241" s="15" t="s">
        <v>2043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 t="s">
        <v>2038</v>
      </c>
      <c r="Z241" s="15" t="s">
        <v>2041</v>
      </c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17" t="s">
        <v>2045</v>
      </c>
    </row>
    <row r="242" spans="1:50" s="103" customFormat="1" ht="36.75" thickBot="1" x14ac:dyDescent="0.3">
      <c r="A242" s="101">
        <v>46231</v>
      </c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 t="s">
        <v>2044</v>
      </c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25" t="s">
        <v>2047</v>
      </c>
      <c r="AW242" s="27"/>
      <c r="AX242" s="27"/>
    </row>
    <row r="243" spans="1:50" ht="60" x14ac:dyDescent="0.25">
      <c r="A243" s="28">
        <v>46232</v>
      </c>
      <c r="B243" s="29"/>
      <c r="C243" s="37" t="s">
        <v>2088</v>
      </c>
      <c r="D243" s="37"/>
      <c r="E243" s="37"/>
      <c r="F243" s="37" t="s">
        <v>2094</v>
      </c>
      <c r="G243" s="37" t="s">
        <v>2090</v>
      </c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Y243" s="37" t="s">
        <v>2087</v>
      </c>
      <c r="Z243" s="37" t="s">
        <v>2086</v>
      </c>
      <c r="AA243" s="37"/>
      <c r="AB243" s="37"/>
      <c r="AD243" s="37" t="s">
        <v>2083</v>
      </c>
      <c r="AF243" s="37" t="s">
        <v>2084</v>
      </c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124" t="s">
        <v>2085</v>
      </c>
      <c r="AW243" s="29" t="s">
        <v>2091</v>
      </c>
    </row>
    <row r="244" spans="1:50" ht="60.75" thickBot="1" x14ac:dyDescent="0.3">
      <c r="A244" s="16">
        <v>46232</v>
      </c>
      <c r="B244" s="17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Y244" s="42" t="s">
        <v>2096</v>
      </c>
      <c r="Z244" s="42" t="s">
        <v>2089</v>
      </c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152" t="s">
        <v>2093</v>
      </c>
      <c r="AW244" s="17" t="s">
        <v>2092</v>
      </c>
    </row>
    <row r="245" spans="1:50" s="105" customFormat="1" ht="60" x14ac:dyDescent="0.25">
      <c r="A245" s="18">
        <v>46233</v>
      </c>
      <c r="B245" s="20"/>
      <c r="C245" s="19" t="s">
        <v>2115</v>
      </c>
      <c r="D245" s="19"/>
      <c r="E245" s="19"/>
      <c r="F245" s="19"/>
      <c r="G245" s="19"/>
      <c r="H245" s="19" t="s">
        <v>2117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 t="s">
        <v>2114</v>
      </c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53" t="s">
        <v>2113</v>
      </c>
      <c r="AV245" s="19"/>
      <c r="AW245" s="20" t="s">
        <v>2095</v>
      </c>
      <c r="AX245" s="180"/>
    </row>
    <row r="246" spans="1:50" s="103" customFormat="1" ht="36.75" thickBot="1" x14ac:dyDescent="0.3">
      <c r="A246" s="101">
        <v>46233</v>
      </c>
      <c r="B246" s="102"/>
      <c r="C246" s="126"/>
      <c r="D246" s="126"/>
      <c r="E246" s="126"/>
      <c r="F246" s="126"/>
      <c r="G246" s="126"/>
      <c r="H246" s="126" t="s">
        <v>2118</v>
      </c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50" t="s">
        <v>2116</v>
      </c>
      <c r="AV246" s="126"/>
      <c r="AW246" s="102"/>
      <c r="AX246" s="27"/>
    </row>
    <row r="247" spans="1:50" ht="36" x14ac:dyDescent="0.25">
      <c r="A247" s="28">
        <v>46252</v>
      </c>
      <c r="B247" s="29"/>
      <c r="C247" s="29" t="s">
        <v>2178</v>
      </c>
      <c r="D247" s="29"/>
      <c r="E247" s="29"/>
      <c r="F247" s="29"/>
      <c r="G247" s="29"/>
      <c r="H247" s="29" t="s">
        <v>2177</v>
      </c>
      <c r="I247" s="29"/>
      <c r="J247" s="29"/>
      <c r="K247" s="29"/>
      <c r="L247" s="29"/>
      <c r="M247" s="29"/>
      <c r="N247" s="29"/>
      <c r="O247" s="29"/>
      <c r="P247" s="29"/>
      <c r="Q247" s="29"/>
      <c r="R247" s="29" t="s">
        <v>2185</v>
      </c>
      <c r="S247" s="29"/>
      <c r="T247" s="29"/>
      <c r="U247" s="29"/>
      <c r="V247" s="29"/>
      <c r="W247" s="29"/>
      <c r="X247" s="29"/>
      <c r="Y247" s="29" t="s">
        <v>2169</v>
      </c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 t="s">
        <v>2173</v>
      </c>
      <c r="AS247" s="29"/>
      <c r="AT247" s="121" t="s">
        <v>2176</v>
      </c>
      <c r="AU247" s="121" t="s">
        <v>2170</v>
      </c>
      <c r="AV247" s="121" t="s">
        <v>2168</v>
      </c>
    </row>
    <row r="248" spans="1:50" ht="36" x14ac:dyDescent="0.25">
      <c r="A248" s="11">
        <v>46252</v>
      </c>
      <c r="B248" s="12"/>
      <c r="C248" s="12" t="s">
        <v>2184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 t="s">
        <v>2180</v>
      </c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 t="s">
        <v>2179</v>
      </c>
      <c r="AS248" s="12"/>
      <c r="AT248" s="12"/>
      <c r="AU248" s="116" t="s">
        <v>2171</v>
      </c>
      <c r="AV248" s="116" t="s">
        <v>2172</v>
      </c>
    </row>
    <row r="249" spans="1:50" ht="36" x14ac:dyDescent="0.25">
      <c r="A249" s="11">
        <v>46252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17" t="s">
        <v>2174</v>
      </c>
      <c r="AV249" s="117" t="s">
        <v>2181</v>
      </c>
    </row>
    <row r="250" spans="1:50" ht="36" x14ac:dyDescent="0.25">
      <c r="A250" s="11">
        <v>46252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16" t="s">
        <v>2175</v>
      </c>
      <c r="AV250" s="12"/>
    </row>
    <row r="251" spans="1:50" ht="36" x14ac:dyDescent="0.25">
      <c r="A251" s="11">
        <v>46252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17" t="s">
        <v>2182</v>
      </c>
      <c r="AV251" s="15"/>
    </row>
    <row r="252" spans="1:50" ht="36.75" thickBot="1" x14ac:dyDescent="0.3">
      <c r="A252" s="16">
        <v>46252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18" t="s">
        <v>2183</v>
      </c>
      <c r="AV252" s="17"/>
    </row>
    <row r="253" spans="1:50" s="132" customFormat="1" ht="36.75" thickTop="1" x14ac:dyDescent="0.25">
      <c r="A253" s="129">
        <v>46253</v>
      </c>
      <c r="B253" s="188"/>
      <c r="C253" s="188" t="s">
        <v>2187</v>
      </c>
      <c r="D253" s="188"/>
      <c r="E253" s="188"/>
      <c r="F253" s="188"/>
      <c r="G253" s="188"/>
      <c r="H253" s="188" t="s">
        <v>2190</v>
      </c>
      <c r="I253" s="188"/>
      <c r="J253" s="188"/>
      <c r="K253" s="188"/>
      <c r="L253" s="188"/>
      <c r="M253" s="188"/>
      <c r="N253" s="188"/>
      <c r="O253" s="188"/>
      <c r="P253" s="188" t="s">
        <v>2192</v>
      </c>
      <c r="Q253" s="188"/>
      <c r="R253" s="188" t="s">
        <v>2189</v>
      </c>
      <c r="S253" s="188"/>
      <c r="T253" s="188"/>
      <c r="U253" s="188"/>
      <c r="V253" s="188"/>
      <c r="W253" s="188"/>
      <c r="X253" s="188"/>
      <c r="Y253" s="188" t="s">
        <v>2197</v>
      </c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91" t="s">
        <v>2186</v>
      </c>
      <c r="AV253" s="191" t="s">
        <v>2191</v>
      </c>
      <c r="AW253" s="189"/>
      <c r="AX253" s="189"/>
    </row>
    <row r="254" spans="1:50" ht="36" x14ac:dyDescent="0.25">
      <c r="A254" s="11">
        <v>46253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 t="s">
        <v>2196</v>
      </c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16" t="s">
        <v>2188</v>
      </c>
      <c r="AV254" s="116" t="s">
        <v>2194</v>
      </c>
    </row>
    <row r="255" spans="1:50" ht="36" x14ac:dyDescent="0.25">
      <c r="A255" s="11">
        <v>46253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17" t="s">
        <v>2193</v>
      </c>
      <c r="AV255" s="117" t="s">
        <v>2198</v>
      </c>
    </row>
    <row r="256" spans="1:50" s="103" customFormat="1" ht="36.75" thickBot="1" x14ac:dyDescent="0.3">
      <c r="A256" s="101">
        <v>46253</v>
      </c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25" t="s">
        <v>2195</v>
      </c>
      <c r="AV256" s="102"/>
      <c r="AW256" s="27"/>
      <c r="AX256" s="27"/>
    </row>
    <row r="257" spans="1:51" ht="36" x14ac:dyDescent="0.25">
      <c r="A257" s="28">
        <v>46254</v>
      </c>
      <c r="B257" s="29" t="s">
        <v>2200</v>
      </c>
      <c r="C257" s="29" t="s">
        <v>2210</v>
      </c>
      <c r="D257" s="29"/>
      <c r="E257" s="29"/>
      <c r="F257" s="29"/>
      <c r="G257" s="29"/>
      <c r="H257" s="29" t="s">
        <v>2202</v>
      </c>
      <c r="I257" s="29"/>
      <c r="J257" s="29"/>
      <c r="K257" s="29"/>
      <c r="L257" s="29"/>
      <c r="M257" s="29"/>
      <c r="N257" s="29"/>
      <c r="O257" s="29"/>
      <c r="P257" s="29"/>
      <c r="Q257" s="29"/>
      <c r="R257" s="29" t="s">
        <v>2206</v>
      </c>
      <c r="S257" s="29"/>
      <c r="T257" s="29"/>
      <c r="U257" s="29"/>
      <c r="V257" s="29"/>
      <c r="W257" s="29"/>
      <c r="X257" s="29"/>
      <c r="Y257" s="29"/>
      <c r="Z257" s="29" t="s">
        <v>2208</v>
      </c>
      <c r="AA257" s="29"/>
      <c r="AB257" s="29"/>
      <c r="AC257" s="29"/>
      <c r="AD257" s="29"/>
      <c r="AE257" s="29"/>
      <c r="AF257" s="29" t="s">
        <v>2205</v>
      </c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121" t="s">
        <v>2204</v>
      </c>
      <c r="AU257" s="121" t="s">
        <v>2207</v>
      </c>
      <c r="AV257" s="121" t="s">
        <v>2209</v>
      </c>
      <c r="AY257" s="190" t="s">
        <v>2199</v>
      </c>
    </row>
    <row r="258" spans="1:51" ht="36" x14ac:dyDescent="0.25">
      <c r="A258" s="16">
        <v>46254</v>
      </c>
      <c r="B258" s="17"/>
      <c r="C258" s="17" t="s">
        <v>2211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Y258" s="190" t="s">
        <v>2201</v>
      </c>
    </row>
    <row r="259" spans="1:51" ht="15.75" thickBot="1" x14ac:dyDescent="0.3">
      <c r="A259" s="16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Y259" s="190" t="s">
        <v>2203</v>
      </c>
    </row>
    <row r="260" spans="1:51" s="105" customFormat="1" ht="36" x14ac:dyDescent="0.25">
      <c r="A260" s="18">
        <v>46255</v>
      </c>
      <c r="B260" s="19" t="s">
        <v>2217</v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 t="s">
        <v>2213</v>
      </c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19" t="s">
        <v>245</v>
      </c>
      <c r="AU260" s="153" t="s">
        <v>2212</v>
      </c>
      <c r="AV260" s="19"/>
      <c r="AW260" s="180"/>
      <c r="AX260" s="180"/>
    </row>
    <row r="261" spans="1:51" ht="36" x14ac:dyDescent="0.25">
      <c r="A261" s="11">
        <v>46255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 t="s">
        <v>2224</v>
      </c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17" t="s">
        <v>2215</v>
      </c>
      <c r="AU261" s="117" t="s">
        <v>2214</v>
      </c>
      <c r="AV261" s="15"/>
    </row>
    <row r="262" spans="1:51" ht="36" x14ac:dyDescent="0.25">
      <c r="A262" s="11">
        <v>46255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16" t="s">
        <v>2218</v>
      </c>
      <c r="AU262" s="116" t="s">
        <v>2216</v>
      </c>
      <c r="AV262" s="12"/>
    </row>
    <row r="263" spans="1:51" ht="36" x14ac:dyDescent="0.25">
      <c r="A263" s="11">
        <v>46255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17" t="s">
        <v>2219</v>
      </c>
      <c r="AU263" s="117" t="s">
        <v>2220</v>
      </c>
      <c r="AV263" s="15"/>
    </row>
    <row r="264" spans="1:51" ht="36" x14ac:dyDescent="0.25">
      <c r="A264" s="11">
        <v>46255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16" t="s">
        <v>2221</v>
      </c>
      <c r="AU264" s="116" t="s">
        <v>2222</v>
      </c>
      <c r="AV264" s="12"/>
    </row>
    <row r="265" spans="1:51" ht="36" x14ac:dyDescent="0.25">
      <c r="A265" s="11">
        <v>46255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17" t="s">
        <v>2223</v>
      </c>
      <c r="AV265" s="15"/>
    </row>
    <row r="266" spans="1:51" s="103" customFormat="1" ht="36.75" thickBot="1" x14ac:dyDescent="0.3">
      <c r="A266" s="101">
        <v>46255</v>
      </c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25" t="s">
        <v>2225</v>
      </c>
      <c r="AV266" s="102"/>
      <c r="AW266" s="27"/>
      <c r="AX266" s="27"/>
    </row>
    <row r="267" spans="1:51" ht="36" x14ac:dyDescent="0.25">
      <c r="A267" s="28">
        <v>46258</v>
      </c>
      <c r="B267" s="29"/>
      <c r="C267" s="29" t="s">
        <v>2261</v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121" t="s">
        <v>2263</v>
      </c>
      <c r="AV267" s="121" t="s">
        <v>2260</v>
      </c>
    </row>
    <row r="268" spans="1:51" s="103" customFormat="1" ht="36.75" thickBot="1" x14ac:dyDescent="0.3">
      <c r="A268" s="101">
        <v>46258</v>
      </c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25" t="s">
        <v>2264</v>
      </c>
      <c r="AV268" s="125" t="s">
        <v>2262</v>
      </c>
      <c r="AW268" s="27"/>
      <c r="AX268" s="27"/>
    </row>
    <row r="269" spans="1:51" ht="36" x14ac:dyDescent="0.25">
      <c r="A269" s="28">
        <v>46259</v>
      </c>
      <c r="B269" s="29" t="s">
        <v>272</v>
      </c>
      <c r="C269" s="29" t="s">
        <v>2312</v>
      </c>
      <c r="D269" s="29"/>
      <c r="E269" s="29" t="s">
        <v>2314</v>
      </c>
      <c r="F269" s="29"/>
      <c r="G269" s="29"/>
      <c r="H269" s="29" t="s">
        <v>2311</v>
      </c>
      <c r="I269" s="29"/>
      <c r="J269" s="29"/>
      <c r="K269" s="29"/>
      <c r="L269" s="29"/>
      <c r="M269" s="29"/>
      <c r="N269" s="29"/>
      <c r="O269" s="29" t="s">
        <v>2321</v>
      </c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 t="s">
        <v>2310</v>
      </c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121" t="s">
        <v>2319</v>
      </c>
      <c r="AV269" s="121" t="s">
        <v>2317</v>
      </c>
      <c r="AY269" s="190" t="s">
        <v>2318</v>
      </c>
    </row>
    <row r="270" spans="1:51" ht="36" x14ac:dyDescent="0.25">
      <c r="A270" s="11">
        <v>46259</v>
      </c>
      <c r="B270" s="12"/>
      <c r="C270" s="12" t="s">
        <v>2315</v>
      </c>
      <c r="D270" s="12"/>
      <c r="E270" s="12" t="s">
        <v>2316</v>
      </c>
      <c r="F270" s="12"/>
      <c r="G270" s="12"/>
      <c r="H270" s="12" t="s">
        <v>2313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 t="s">
        <v>2322</v>
      </c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51" s="103" customFormat="1" ht="36.75" thickBot="1" x14ac:dyDescent="0.3">
      <c r="A271" s="101">
        <v>46259</v>
      </c>
      <c r="B271" s="126"/>
      <c r="C271" s="126"/>
      <c r="D271" s="126"/>
      <c r="E271" s="126"/>
      <c r="F271" s="126"/>
      <c r="G271" s="126"/>
      <c r="H271" s="126" t="s">
        <v>2320</v>
      </c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27"/>
      <c r="AX271" s="27"/>
    </row>
    <row r="272" spans="1:51" ht="36" x14ac:dyDescent="0.25">
      <c r="A272" s="28">
        <v>46260</v>
      </c>
      <c r="B272" s="37" t="s">
        <v>2345</v>
      </c>
      <c r="C272" s="37" t="s">
        <v>2346</v>
      </c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 t="s">
        <v>2353</v>
      </c>
      <c r="Z272" s="37"/>
      <c r="AA272" s="37"/>
      <c r="AB272" s="37"/>
      <c r="AC272" s="37"/>
      <c r="AD272" s="37"/>
      <c r="AE272" s="37"/>
      <c r="AF272" s="37" t="s">
        <v>2354</v>
      </c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117" t="s">
        <v>2351</v>
      </c>
      <c r="AU272" s="124" t="s">
        <v>2349</v>
      </c>
      <c r="AV272" s="124" t="s">
        <v>2347</v>
      </c>
      <c r="AW272" s="218"/>
      <c r="AX272" s="218"/>
      <c r="AY272" s="190" t="s">
        <v>2356</v>
      </c>
    </row>
    <row r="273" spans="1:51" ht="36" x14ac:dyDescent="0.25">
      <c r="A273" s="11">
        <v>46260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 t="s">
        <v>2355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17" t="s">
        <v>2352</v>
      </c>
      <c r="AV273" s="117" t="s">
        <v>2348</v>
      </c>
    </row>
    <row r="274" spans="1:51" ht="36" x14ac:dyDescent="0.25">
      <c r="A274" s="11">
        <v>46260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 t="s">
        <v>2357</v>
      </c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16" t="s">
        <v>2350</v>
      </c>
    </row>
    <row r="275" spans="1:51" s="103" customFormat="1" ht="36.75" thickBot="1" x14ac:dyDescent="0.3">
      <c r="A275" s="101">
        <v>46260</v>
      </c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219" t="s">
        <v>2358</v>
      </c>
      <c r="AW275" s="27"/>
      <c r="AX275" s="27"/>
    </row>
    <row r="276" spans="1:51" ht="36" x14ac:dyDescent="0.25">
      <c r="A276" s="28">
        <v>46261</v>
      </c>
      <c r="B276" s="37"/>
      <c r="C276" s="37"/>
      <c r="D276" s="37"/>
      <c r="E276" s="37"/>
      <c r="F276" s="37" t="s">
        <v>2378</v>
      </c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 t="s">
        <v>2374</v>
      </c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124" t="s">
        <v>2371</v>
      </c>
      <c r="AU276" s="124" t="s">
        <v>2375</v>
      </c>
      <c r="AV276" s="124" t="s">
        <v>2372</v>
      </c>
    </row>
    <row r="277" spans="1:51" ht="36" x14ac:dyDescent="0.25">
      <c r="A277" s="11">
        <v>46261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17" t="s">
        <v>2373</v>
      </c>
    </row>
    <row r="278" spans="1:51" ht="36" x14ac:dyDescent="0.25">
      <c r="A278" s="11">
        <v>46261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16" t="s">
        <v>2376</v>
      </c>
    </row>
    <row r="279" spans="1:51" ht="36" x14ac:dyDescent="0.25">
      <c r="A279" s="11">
        <v>46261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17" t="s">
        <v>2377</v>
      </c>
    </row>
    <row r="280" spans="1:51" s="103" customFormat="1" ht="36.75" thickBot="1" x14ac:dyDescent="0.3">
      <c r="A280" s="101">
        <v>46261</v>
      </c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25" t="s">
        <v>2379</v>
      </c>
      <c r="AW280" s="27"/>
      <c r="AX280" s="27"/>
    </row>
    <row r="281" spans="1:51" ht="36" x14ac:dyDescent="0.25">
      <c r="A281" s="28">
        <v>46262</v>
      </c>
      <c r="B281" s="29"/>
      <c r="C281" s="29" t="s">
        <v>2396</v>
      </c>
      <c r="D281" s="29"/>
      <c r="E281" s="29"/>
      <c r="F281" s="29" t="s">
        <v>2399</v>
      </c>
      <c r="G281" s="29"/>
      <c r="H281" s="29" t="s">
        <v>2393</v>
      </c>
      <c r="I281" s="29"/>
      <c r="J281" s="29"/>
      <c r="K281" s="29"/>
      <c r="L281" s="29"/>
      <c r="M281" s="29"/>
      <c r="N281" s="29"/>
      <c r="O281" s="29"/>
      <c r="P281" s="29"/>
      <c r="Q281" s="29"/>
      <c r="R281" s="29" t="s">
        <v>2406</v>
      </c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121" t="s">
        <v>2407</v>
      </c>
      <c r="AU281" s="121" t="s">
        <v>2397</v>
      </c>
      <c r="AV281" s="121" t="s">
        <v>2394</v>
      </c>
      <c r="AY281" s="190" t="s">
        <v>2403</v>
      </c>
    </row>
    <row r="282" spans="1:51" ht="36" x14ac:dyDescent="0.25">
      <c r="A282" s="11">
        <v>46262</v>
      </c>
      <c r="B282" s="12"/>
      <c r="C282" s="12" t="s">
        <v>2398</v>
      </c>
      <c r="D282" s="12"/>
      <c r="E282" s="12"/>
      <c r="F282" s="12"/>
      <c r="G282" s="12"/>
      <c r="H282" s="12" t="s">
        <v>2402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16" t="s">
        <v>2395</v>
      </c>
      <c r="AY282" s="190" t="s">
        <v>2405</v>
      </c>
    </row>
    <row r="283" spans="1:51" ht="36" x14ac:dyDescent="0.25">
      <c r="A283" s="11">
        <v>46262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17" t="s">
        <v>2400</v>
      </c>
    </row>
    <row r="284" spans="1:51" ht="36" x14ac:dyDescent="0.25">
      <c r="A284" s="11">
        <v>46262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16" t="s">
        <v>2401</v>
      </c>
    </row>
    <row r="285" spans="1:51" ht="36" x14ac:dyDescent="0.25">
      <c r="A285" s="11">
        <v>46262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17" t="s">
        <v>2404</v>
      </c>
    </row>
    <row r="286" spans="1:51" ht="36" x14ac:dyDescent="0.25">
      <c r="A286" s="11">
        <v>46262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16" t="s">
        <v>2408</v>
      </c>
    </row>
    <row r="287" spans="1:51" s="103" customFormat="1" ht="36.75" thickBot="1" x14ac:dyDescent="0.3">
      <c r="A287" s="101">
        <v>46262</v>
      </c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50" t="s">
        <v>2409</v>
      </c>
      <c r="AW287" s="27"/>
      <c r="AX287" s="27"/>
    </row>
    <row r="288" spans="1:51" ht="36" x14ac:dyDescent="0.25">
      <c r="A288" s="18">
        <v>46265</v>
      </c>
      <c r="B288" s="19" t="s">
        <v>2438</v>
      </c>
      <c r="C288" s="19"/>
      <c r="D288" s="19"/>
      <c r="E288" s="19"/>
      <c r="F288" s="19" t="s">
        <v>2452</v>
      </c>
      <c r="G288" s="19"/>
      <c r="H288" s="19" t="s">
        <v>2441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 t="s">
        <v>2440</v>
      </c>
      <c r="S288" s="19"/>
      <c r="T288" s="19"/>
      <c r="U288" s="19"/>
      <c r="V288" s="19" t="s">
        <v>2446</v>
      </c>
      <c r="W288" s="19"/>
      <c r="X288" s="19"/>
      <c r="Y288" s="19" t="s">
        <v>2443</v>
      </c>
      <c r="Z288" s="19" t="s">
        <v>2439</v>
      </c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 t="s">
        <v>2436</v>
      </c>
      <c r="AR288" s="19"/>
      <c r="AS288" s="19"/>
      <c r="AT288" s="19"/>
      <c r="AU288" s="153" t="s">
        <v>2450</v>
      </c>
      <c r="AV288" s="153" t="s">
        <v>2448</v>
      </c>
      <c r="AW288" s="180"/>
      <c r="AX288" s="180"/>
      <c r="AY288" s="220" t="s">
        <v>2444</v>
      </c>
    </row>
    <row r="289" spans="1:51" ht="36" x14ac:dyDescent="0.25">
      <c r="A289" s="11">
        <v>46265</v>
      </c>
      <c r="B289" s="15" t="s">
        <v>2442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 t="s">
        <v>2447</v>
      </c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 t="s">
        <v>2437</v>
      </c>
      <c r="AR289" s="15"/>
      <c r="AS289" s="15"/>
      <c r="AT289" s="15"/>
      <c r="AU289" s="15"/>
      <c r="AV289" s="117" t="s">
        <v>2449</v>
      </c>
      <c r="AW289" s="149"/>
      <c r="AX289" s="149"/>
      <c r="AY289" s="193"/>
    </row>
    <row r="290" spans="1:51" ht="36.75" thickBot="1" x14ac:dyDescent="0.3">
      <c r="A290" s="101">
        <v>46265</v>
      </c>
      <c r="B290" s="102" t="s">
        <v>2445</v>
      </c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25" t="s">
        <v>2451</v>
      </c>
      <c r="AW290" s="27"/>
      <c r="AX290" s="27"/>
      <c r="AY290" s="103"/>
    </row>
    <row r="291" spans="1:51" ht="36" x14ac:dyDescent="0.25">
      <c r="A291" s="28">
        <v>46266</v>
      </c>
      <c r="B291" s="29"/>
      <c r="C291" s="29" t="s">
        <v>2536</v>
      </c>
      <c r="D291" s="29"/>
      <c r="E291" s="29"/>
      <c r="F291" s="29"/>
      <c r="G291" s="29" t="s">
        <v>2552</v>
      </c>
      <c r="H291" s="29" t="s">
        <v>2544</v>
      </c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 t="s">
        <v>2542</v>
      </c>
      <c r="Z291" s="29" t="s">
        <v>2547</v>
      </c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 t="s">
        <v>2541</v>
      </c>
      <c r="AU291" s="29"/>
      <c r="AV291" s="121" t="s">
        <v>2535</v>
      </c>
      <c r="AY291" s="190" t="s">
        <v>2538</v>
      </c>
    </row>
    <row r="292" spans="1:51" ht="36" x14ac:dyDescent="0.25">
      <c r="A292" s="11">
        <v>46266</v>
      </c>
      <c r="B292" s="12"/>
      <c r="C292" s="12" t="s">
        <v>2539</v>
      </c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 t="s">
        <v>2545</v>
      </c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 t="s">
        <v>2549</v>
      </c>
      <c r="AU292" s="12"/>
      <c r="AV292" s="116" t="s">
        <v>2537</v>
      </c>
    </row>
    <row r="293" spans="1:51" ht="36" x14ac:dyDescent="0.25">
      <c r="A293" s="11">
        <v>46266</v>
      </c>
      <c r="B293" s="15"/>
      <c r="C293" s="15" t="s">
        <v>2543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 t="s">
        <v>2548</v>
      </c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17" t="s">
        <v>2540</v>
      </c>
    </row>
    <row r="294" spans="1:51" ht="36.75" thickBot="1" x14ac:dyDescent="0.3">
      <c r="A294" s="16">
        <v>46266</v>
      </c>
      <c r="B294" s="17"/>
      <c r="C294" s="17" t="s">
        <v>2550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 t="s">
        <v>2551</v>
      </c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18" t="s">
        <v>2546</v>
      </c>
    </row>
    <row r="295" spans="1:51" s="105" customFormat="1" ht="36" x14ac:dyDescent="0.25">
      <c r="A295" s="18">
        <v>46267</v>
      </c>
      <c r="B295" s="20"/>
      <c r="C295" s="20" t="s">
        <v>2561</v>
      </c>
      <c r="D295" s="20"/>
      <c r="E295" s="20"/>
      <c r="F295" s="20"/>
      <c r="G295" s="20"/>
      <c r="H295" s="20" t="s">
        <v>2562</v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 t="s">
        <v>2574</v>
      </c>
      <c r="Z295" s="20" t="s">
        <v>2565</v>
      </c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 t="s">
        <v>2563</v>
      </c>
      <c r="AS295" s="20"/>
      <c r="AT295" s="20"/>
      <c r="AU295" s="119" t="s">
        <v>2560</v>
      </c>
      <c r="AV295" s="119" t="s">
        <v>2559</v>
      </c>
      <c r="AW295" s="180"/>
      <c r="AX295" s="180"/>
    </row>
    <row r="296" spans="1:51" ht="36" x14ac:dyDescent="0.25">
      <c r="A296" s="11">
        <v>46267</v>
      </c>
      <c r="B296" s="12"/>
      <c r="C296" s="12" t="s">
        <v>2567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 t="s">
        <v>2575</v>
      </c>
      <c r="Z296" s="12" t="s">
        <v>2572</v>
      </c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16" t="s">
        <v>2564</v>
      </c>
    </row>
    <row r="297" spans="1:51" ht="36" x14ac:dyDescent="0.25">
      <c r="A297" s="11">
        <v>46267</v>
      </c>
      <c r="B297" s="15"/>
      <c r="C297" s="15" t="s">
        <v>2573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17" t="s">
        <v>2566</v>
      </c>
    </row>
    <row r="298" spans="1:51" ht="36" x14ac:dyDescent="0.25">
      <c r="A298" s="11">
        <v>46267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16" t="s">
        <v>2568</v>
      </c>
    </row>
    <row r="299" spans="1:51" ht="36" x14ac:dyDescent="0.25">
      <c r="A299" s="11">
        <v>46267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17" t="s">
        <v>2569</v>
      </c>
    </row>
    <row r="300" spans="1:51" ht="36" x14ac:dyDescent="0.25">
      <c r="A300" s="11">
        <v>46267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16" t="s">
        <v>2570</v>
      </c>
    </row>
    <row r="301" spans="1:51" s="103" customFormat="1" ht="36.75" thickBot="1" x14ac:dyDescent="0.3">
      <c r="A301" s="101">
        <v>46267</v>
      </c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50" t="s">
        <v>2571</v>
      </c>
      <c r="AW301" s="27"/>
      <c r="AX301" s="27"/>
    </row>
    <row r="302" spans="1:51" ht="36" x14ac:dyDescent="0.25">
      <c r="A302" s="28">
        <v>46268</v>
      </c>
      <c r="B302" s="37"/>
      <c r="C302" s="37" t="s">
        <v>2589</v>
      </c>
      <c r="D302" s="37"/>
      <c r="E302" s="37"/>
      <c r="F302" s="37"/>
      <c r="G302" s="37" t="s">
        <v>2591</v>
      </c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 t="s">
        <v>2590</v>
      </c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 t="s">
        <v>2594</v>
      </c>
      <c r="AR302" s="37"/>
      <c r="AS302" s="37"/>
      <c r="AT302" s="37"/>
      <c r="AU302" s="124" t="s">
        <v>2599</v>
      </c>
      <c r="AV302" s="124" t="s">
        <v>2588</v>
      </c>
      <c r="AY302" s="190" t="s">
        <v>2600</v>
      </c>
    </row>
    <row r="303" spans="1:51" ht="36" x14ac:dyDescent="0.25">
      <c r="A303" s="11">
        <v>46268</v>
      </c>
      <c r="B303" s="15"/>
      <c r="C303" s="15" t="s">
        <v>2598</v>
      </c>
      <c r="D303" s="15"/>
      <c r="E303" s="15"/>
      <c r="F303" s="15"/>
      <c r="G303" s="15" t="s">
        <v>2613</v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 t="s">
        <v>2596</v>
      </c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17" t="s">
        <v>2610</v>
      </c>
      <c r="AV303" s="117" t="s">
        <v>2592</v>
      </c>
    </row>
    <row r="304" spans="1:51" ht="36" x14ac:dyDescent="0.25">
      <c r="A304" s="11">
        <v>46268</v>
      </c>
      <c r="B304" s="12"/>
      <c r="C304" s="12" t="s">
        <v>2612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16" t="s">
        <v>2593</v>
      </c>
    </row>
    <row r="305" spans="1:50" ht="36" x14ac:dyDescent="0.25">
      <c r="A305" s="11">
        <v>46268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17" t="s">
        <v>2595</v>
      </c>
    </row>
    <row r="306" spans="1:50" ht="36" x14ac:dyDescent="0.25">
      <c r="A306" s="11">
        <v>46268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16" t="s">
        <v>2597</v>
      </c>
    </row>
    <row r="307" spans="1:50" ht="36" x14ac:dyDescent="0.25">
      <c r="A307" s="11">
        <v>46268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17" t="s">
        <v>2601</v>
      </c>
    </row>
    <row r="308" spans="1:50" ht="36" x14ac:dyDescent="0.25">
      <c r="A308" s="11">
        <v>46268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16" t="s">
        <v>2602</v>
      </c>
    </row>
    <row r="309" spans="1:50" ht="36" x14ac:dyDescent="0.25">
      <c r="A309" s="11">
        <v>46268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17" t="s">
        <v>2603</v>
      </c>
    </row>
    <row r="310" spans="1:50" ht="36" x14ac:dyDescent="0.25">
      <c r="A310" s="11">
        <v>46268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16" t="s">
        <v>2604</v>
      </c>
    </row>
    <row r="311" spans="1:50" ht="36" x14ac:dyDescent="0.25">
      <c r="A311" s="11">
        <v>46268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17" t="s">
        <v>2605</v>
      </c>
    </row>
    <row r="312" spans="1:50" ht="36" x14ac:dyDescent="0.25">
      <c r="A312" s="11">
        <v>46268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16" t="s">
        <v>2606</v>
      </c>
    </row>
    <row r="313" spans="1:50" ht="36" x14ac:dyDescent="0.25">
      <c r="A313" s="11">
        <v>46268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17" t="s">
        <v>2607</v>
      </c>
    </row>
    <row r="314" spans="1:50" ht="36" x14ac:dyDescent="0.25">
      <c r="A314" s="11">
        <v>46268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16" t="s">
        <v>2608</v>
      </c>
    </row>
    <row r="315" spans="1:50" ht="36" x14ac:dyDescent="0.25">
      <c r="A315" s="11">
        <v>46268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17" t="s">
        <v>2609</v>
      </c>
    </row>
    <row r="316" spans="1:50" s="103" customFormat="1" ht="36.75" thickBot="1" x14ac:dyDescent="0.3">
      <c r="A316" s="101">
        <v>46268</v>
      </c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25" t="s">
        <v>2611</v>
      </c>
      <c r="AW316" s="27"/>
      <c r="AX316" s="27"/>
    </row>
    <row r="317" spans="1:50" ht="36" x14ac:dyDescent="0.25">
      <c r="A317" s="28">
        <v>46269</v>
      </c>
      <c r="B317" s="29"/>
      <c r="C317" s="29" t="s">
        <v>2635</v>
      </c>
      <c r="D317" s="29"/>
      <c r="E317" s="29"/>
      <c r="F317" s="29" t="s">
        <v>2636</v>
      </c>
      <c r="G317" s="29"/>
      <c r="H317" s="29" t="s">
        <v>2638</v>
      </c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 t="s">
        <v>2632</v>
      </c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 t="s">
        <v>2643</v>
      </c>
      <c r="AR317" s="29"/>
      <c r="AS317" s="29"/>
      <c r="AT317" s="29" t="s">
        <v>2634</v>
      </c>
      <c r="AU317" s="29" t="s">
        <v>2637</v>
      </c>
      <c r="AV317" s="29" t="s">
        <v>2633</v>
      </c>
    </row>
    <row r="318" spans="1:50" ht="36" x14ac:dyDescent="0.25">
      <c r="A318" s="11">
        <v>46269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 t="s">
        <v>2640</v>
      </c>
      <c r="AU318" s="12" t="s">
        <v>2639</v>
      </c>
      <c r="AV318" s="12" t="s">
        <v>2641</v>
      </c>
    </row>
    <row r="319" spans="1:50" ht="36" x14ac:dyDescent="0.25">
      <c r="A319" s="11">
        <v>46269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 t="s">
        <v>2642</v>
      </c>
    </row>
    <row r="320" spans="1:50" ht="36" x14ac:dyDescent="0.25">
      <c r="A320" s="11">
        <v>46269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 t="s">
        <v>2644</v>
      </c>
    </row>
    <row r="321" spans="1:50" s="103" customFormat="1" ht="36.75" thickBot="1" x14ac:dyDescent="0.3">
      <c r="A321" s="101">
        <v>46269</v>
      </c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 t="s">
        <v>2645</v>
      </c>
      <c r="AW321" s="27"/>
      <c r="AX321" s="27"/>
    </row>
    <row r="322" spans="1:50" ht="36" x14ac:dyDescent="0.25">
      <c r="A322" s="28">
        <v>46272</v>
      </c>
      <c r="B322" s="37"/>
      <c r="C322" s="37" t="s">
        <v>2713</v>
      </c>
      <c r="D322" s="37"/>
      <c r="E322" s="37"/>
      <c r="F322" s="37"/>
      <c r="G322" s="37"/>
      <c r="H322" s="37" t="s">
        <v>2707</v>
      </c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 t="s">
        <v>2703</v>
      </c>
      <c r="Z322" s="37" t="s">
        <v>2719</v>
      </c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 t="s">
        <v>2708</v>
      </c>
      <c r="AU322" s="37" t="s">
        <v>2704</v>
      </c>
      <c r="AV322" s="37" t="s">
        <v>2711</v>
      </c>
    </row>
    <row r="323" spans="1:50" ht="36" x14ac:dyDescent="0.25">
      <c r="A323" s="11">
        <v>46272</v>
      </c>
      <c r="B323" s="15"/>
      <c r="C323" s="15" t="s">
        <v>2720</v>
      </c>
      <c r="D323" s="15"/>
      <c r="E323" s="15"/>
      <c r="F323" s="15"/>
      <c r="G323" s="15"/>
      <c r="H323" s="15" t="s">
        <v>2714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 t="s">
        <v>2706</v>
      </c>
      <c r="Z323" s="15" t="s">
        <v>2722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 t="s">
        <v>2709</v>
      </c>
      <c r="AU323" s="15" t="s">
        <v>2705</v>
      </c>
      <c r="AV323" s="15" t="s">
        <v>2712</v>
      </c>
    </row>
    <row r="324" spans="1:50" ht="36" x14ac:dyDescent="0.25">
      <c r="A324" s="11">
        <v>46272</v>
      </c>
      <c r="B324" s="12"/>
      <c r="C324" s="12"/>
      <c r="D324" s="12"/>
      <c r="E324" s="12"/>
      <c r="F324" s="12"/>
      <c r="G324" s="12"/>
      <c r="H324" s="12" t="s">
        <v>2726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 t="s">
        <v>2727</v>
      </c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 t="s">
        <v>2715</v>
      </c>
      <c r="AU324" s="12" t="s">
        <v>2710</v>
      </c>
      <c r="AV324" s="12" t="s">
        <v>2716</v>
      </c>
    </row>
    <row r="325" spans="1:50" ht="36" x14ac:dyDescent="0.25">
      <c r="A325" s="11">
        <v>46272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 t="s">
        <v>2721</v>
      </c>
      <c r="AV325" s="15" t="s">
        <v>2717</v>
      </c>
    </row>
    <row r="326" spans="1:50" ht="36" x14ac:dyDescent="0.25">
      <c r="A326" s="11">
        <v>46272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 t="s">
        <v>2723</v>
      </c>
      <c r="AV326" s="12" t="s">
        <v>2718</v>
      </c>
    </row>
    <row r="327" spans="1:50" s="103" customFormat="1" ht="36.75" thickBot="1" x14ac:dyDescent="0.3">
      <c r="A327" s="101">
        <v>46272</v>
      </c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 t="s">
        <v>2724</v>
      </c>
      <c r="AV327" s="126" t="s">
        <v>2725</v>
      </c>
      <c r="AW327" s="27"/>
      <c r="AX327" s="27"/>
    </row>
    <row r="328" spans="1:50" x14ac:dyDescent="0.25">
      <c r="A328" s="2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</row>
    <row r="329" spans="1:50" x14ac:dyDescent="0.25">
      <c r="A329" s="11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</row>
    <row r="330" spans="1:50" x14ac:dyDescent="0.25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50" x14ac:dyDescent="0.25">
      <c r="A331" s="11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</row>
    <row r="332" spans="1:50" x14ac:dyDescent="0.25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50" x14ac:dyDescent="0.25">
      <c r="A333" s="11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</row>
    <row r="334" spans="1:50" x14ac:dyDescent="0.25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50" x14ac:dyDescent="0.25">
      <c r="A335" s="11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</row>
    <row r="336" spans="1:50" x14ac:dyDescent="0.25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1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</row>
    <row r="338" spans="1:48" x14ac:dyDescent="0.25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1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</row>
    <row r="340" spans="1:48" x14ac:dyDescent="0.25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1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</row>
    <row r="342" spans="1:48" x14ac:dyDescent="0.25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1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</row>
    <row r="344" spans="1:48" x14ac:dyDescent="0.25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1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</row>
    <row r="346" spans="1:48" x14ac:dyDescent="0.25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1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</row>
    <row r="348" spans="1:48" x14ac:dyDescent="0.25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1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</row>
    <row r="350" spans="1:48" x14ac:dyDescent="0.25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1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</row>
    <row r="352" spans="1:48" x14ac:dyDescent="0.25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1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</row>
    <row r="354" spans="1:48" x14ac:dyDescent="0.25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1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</row>
    <row r="356" spans="1:48" x14ac:dyDescent="0.25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1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</row>
    <row r="358" spans="1:48" x14ac:dyDescent="0.25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1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</row>
    <row r="360" spans="1:48" x14ac:dyDescent="0.25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1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</row>
    <row r="362" spans="1:48" x14ac:dyDescent="0.25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1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</row>
    <row r="364" spans="1:48" x14ac:dyDescent="0.25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1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</row>
    <row r="366" spans="1:48" x14ac:dyDescent="0.25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1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</row>
    <row r="368" spans="1:48" x14ac:dyDescent="0.25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1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</row>
    <row r="370" spans="1:48" x14ac:dyDescent="0.25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1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</row>
    <row r="372" spans="1:48" x14ac:dyDescent="0.25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1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</row>
    <row r="374" spans="1:48" x14ac:dyDescent="0.25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1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</row>
    <row r="376" spans="1:48" x14ac:dyDescent="0.25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1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</row>
    <row r="378" spans="1:48" x14ac:dyDescent="0.25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1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</row>
    <row r="380" spans="1:48" x14ac:dyDescent="0.25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1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</row>
    <row r="382" spans="1:48" x14ac:dyDescent="0.25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1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</row>
    <row r="384" spans="1:48" x14ac:dyDescent="0.25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1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</row>
    <row r="386" spans="1:48" x14ac:dyDescent="0.25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1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</row>
    <row r="388" spans="1:48" x14ac:dyDescent="0.25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1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</row>
    <row r="390" spans="1:48" x14ac:dyDescent="0.25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1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</row>
    <row r="392" spans="1:48" x14ac:dyDescent="0.25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1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</row>
    <row r="394" spans="1:48" x14ac:dyDescent="0.25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1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</row>
    <row r="396" spans="1:48" x14ac:dyDescent="0.25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1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</row>
    <row r="398" spans="1:48" x14ac:dyDescent="0.25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1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</row>
    <row r="400" spans="1:48" x14ac:dyDescent="0.25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1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</row>
    <row r="402" spans="1:48" x14ac:dyDescent="0.25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1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</row>
    <row r="404" spans="1:48" x14ac:dyDescent="0.25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1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</row>
    <row r="406" spans="1:48" x14ac:dyDescent="0.25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1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</row>
    <row r="408" spans="1:48" x14ac:dyDescent="0.25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1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</row>
    <row r="410" spans="1:48" x14ac:dyDescent="0.25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1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</row>
    <row r="412" spans="1:48" x14ac:dyDescent="0.25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1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</row>
    <row r="414" spans="1:48" x14ac:dyDescent="0.25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1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</row>
    <row r="416" spans="1:48" x14ac:dyDescent="0.25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1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</row>
    <row r="418" spans="1:48" x14ac:dyDescent="0.25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1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</row>
    <row r="420" spans="1:48" x14ac:dyDescent="0.25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1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</row>
    <row r="422" spans="1:48" x14ac:dyDescent="0.25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1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</row>
    <row r="424" spans="1:48" x14ac:dyDescent="0.25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1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</row>
    <row r="426" spans="1:48" x14ac:dyDescent="0.25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1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</row>
    <row r="428" spans="1:48" x14ac:dyDescent="0.25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1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</row>
    <row r="430" spans="1:48" x14ac:dyDescent="0.25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1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</row>
    <row r="432" spans="1:48" x14ac:dyDescent="0.25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1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</row>
    <row r="434" spans="1:48" x14ac:dyDescent="0.25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1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</row>
    <row r="436" spans="1:48" x14ac:dyDescent="0.25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1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</row>
    <row r="438" spans="1:48" x14ac:dyDescent="0.25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1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</row>
    <row r="440" spans="1:48" x14ac:dyDescent="0.25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1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</row>
    <row r="442" spans="1:48" x14ac:dyDescent="0.25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1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</row>
    <row r="444" spans="1:48" x14ac:dyDescent="0.25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1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</row>
    <row r="446" spans="1:48" x14ac:dyDescent="0.25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1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</row>
    <row r="448" spans="1:48" x14ac:dyDescent="0.25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1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</row>
    <row r="450" spans="1:48" x14ac:dyDescent="0.25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1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</row>
    <row r="452" spans="1:48" x14ac:dyDescent="0.25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1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</row>
    <row r="454" spans="1:48" x14ac:dyDescent="0.25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1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</row>
    <row r="456" spans="1:48" x14ac:dyDescent="0.25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1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</row>
    <row r="458" spans="1:48" x14ac:dyDescent="0.25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1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</row>
    <row r="460" spans="1:48" x14ac:dyDescent="0.25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1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</row>
    <row r="462" spans="1:48" x14ac:dyDescent="0.25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1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</row>
    <row r="464" spans="1:48" x14ac:dyDescent="0.25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1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</row>
    <row r="466" spans="1:48" x14ac:dyDescent="0.25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1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</row>
    <row r="468" spans="1:48" x14ac:dyDescent="0.25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1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</row>
    <row r="470" spans="1:48" x14ac:dyDescent="0.25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1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</row>
    <row r="472" spans="1:48" x14ac:dyDescent="0.25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1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</row>
    <row r="474" spans="1:48" x14ac:dyDescent="0.25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1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</row>
    <row r="476" spans="1:48" x14ac:dyDescent="0.25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1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</row>
    <row r="478" spans="1:48" x14ac:dyDescent="0.25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1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</row>
    <row r="480" spans="1:48" x14ac:dyDescent="0.25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1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</row>
    <row r="482" spans="1:48" x14ac:dyDescent="0.25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1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</row>
    <row r="484" spans="1:48" x14ac:dyDescent="0.25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1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</row>
    <row r="486" spans="1:48" x14ac:dyDescent="0.25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1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</row>
    <row r="488" spans="1:48" x14ac:dyDescent="0.25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1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</row>
    <row r="490" spans="1:48" x14ac:dyDescent="0.25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1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</row>
    <row r="492" spans="1:48" x14ac:dyDescent="0.25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1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</row>
    <row r="494" spans="1:48" x14ac:dyDescent="0.25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1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</row>
    <row r="496" spans="1:48" x14ac:dyDescent="0.25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1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</row>
    <row r="498" spans="1:48" x14ac:dyDescent="0.25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1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</row>
    <row r="500" spans="1:48" x14ac:dyDescent="0.25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 spans="1:48" x14ac:dyDescent="0.25">
      <c r="A501" s="11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</row>
    <row r="502" spans="1:48" x14ac:dyDescent="0.25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 spans="1:48" x14ac:dyDescent="0.25">
      <c r="A503" s="11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</row>
    <row r="504" spans="1:48" x14ac:dyDescent="0.25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 spans="1:48" x14ac:dyDescent="0.25">
      <c r="A505" s="11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</row>
    <row r="506" spans="1:48" x14ac:dyDescent="0.25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 spans="1:48" x14ac:dyDescent="0.25">
      <c r="A507" s="11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</row>
    <row r="508" spans="1:48" x14ac:dyDescent="0.25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 spans="1:48" x14ac:dyDescent="0.25">
      <c r="A509" s="11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</row>
    <row r="510" spans="1:48" x14ac:dyDescent="0.25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 spans="1:48" x14ac:dyDescent="0.25">
      <c r="A511" s="11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</row>
    <row r="512" spans="1:48" x14ac:dyDescent="0.25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 spans="1:48" x14ac:dyDescent="0.25">
      <c r="A513" s="11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</row>
    <row r="514" spans="1:48" x14ac:dyDescent="0.25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 spans="1:48" x14ac:dyDescent="0.25">
      <c r="A515" s="11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</row>
    <row r="516" spans="1:48" x14ac:dyDescent="0.25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 spans="1:48" x14ac:dyDescent="0.25">
      <c r="A517" s="11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</row>
    <row r="518" spans="1:48" x14ac:dyDescent="0.25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 spans="1:48" x14ac:dyDescent="0.25">
      <c r="A519" s="11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</row>
    <row r="520" spans="1:48" x14ac:dyDescent="0.25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 spans="1:48" x14ac:dyDescent="0.25">
      <c r="A521" s="11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</row>
    <row r="522" spans="1:48" x14ac:dyDescent="0.25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 spans="1:48" x14ac:dyDescent="0.25">
      <c r="A523" s="11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</row>
    <row r="524" spans="1:48" x14ac:dyDescent="0.25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 spans="1:48" x14ac:dyDescent="0.25">
      <c r="A525" s="11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</row>
    <row r="526" spans="1:48" x14ac:dyDescent="0.25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 spans="1:48" x14ac:dyDescent="0.25">
      <c r="A527" s="11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</row>
    <row r="528" spans="1:48" x14ac:dyDescent="0.25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 spans="1:48" x14ac:dyDescent="0.25">
      <c r="A529" s="11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</row>
    <row r="530" spans="1:48" x14ac:dyDescent="0.25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 spans="1:48" x14ac:dyDescent="0.25">
      <c r="A531" s="11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</row>
    <row r="532" spans="1:48" x14ac:dyDescent="0.25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 spans="1:48" x14ac:dyDescent="0.25">
      <c r="A533" s="11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</row>
    <row r="534" spans="1:48" x14ac:dyDescent="0.25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 spans="1:48" x14ac:dyDescent="0.25">
      <c r="A535" s="11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</row>
    <row r="536" spans="1:48" x14ac:dyDescent="0.25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 spans="1:48" x14ac:dyDescent="0.25">
      <c r="A537" s="11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</row>
    <row r="538" spans="1:48" x14ac:dyDescent="0.25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 spans="1:48" x14ac:dyDescent="0.25">
      <c r="A539" s="11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</row>
    <row r="540" spans="1:48" x14ac:dyDescent="0.25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 spans="1:48" x14ac:dyDescent="0.25">
      <c r="A541" s="11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</row>
    <row r="542" spans="1:48" x14ac:dyDescent="0.25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 spans="1:48" x14ac:dyDescent="0.25">
      <c r="A543" s="11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</row>
    <row r="544" spans="1:48" x14ac:dyDescent="0.25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 spans="1:48" x14ac:dyDescent="0.25">
      <c r="A545" s="11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</row>
    <row r="546" spans="1:48" x14ac:dyDescent="0.25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 spans="1:48" x14ac:dyDescent="0.25">
      <c r="A547" s="11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</row>
    <row r="548" spans="1:48" x14ac:dyDescent="0.25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 spans="1:48" x14ac:dyDescent="0.25">
      <c r="A549" s="11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</row>
    <row r="550" spans="1:48" x14ac:dyDescent="0.25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 spans="1:48" x14ac:dyDescent="0.25">
      <c r="A551" s="11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</row>
    <row r="552" spans="1:48" x14ac:dyDescent="0.25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 spans="1:48" x14ac:dyDescent="0.25">
      <c r="A553" s="11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</row>
    <row r="554" spans="1:48" x14ac:dyDescent="0.25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 spans="1:48" x14ac:dyDescent="0.25">
      <c r="A555" s="11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</row>
    <row r="556" spans="1:48" x14ac:dyDescent="0.25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 spans="1:48" x14ac:dyDescent="0.25">
      <c r="A557" s="11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</row>
    <row r="558" spans="1:48" x14ac:dyDescent="0.25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 spans="1:48" x14ac:dyDescent="0.25">
      <c r="A559" s="11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</row>
    <row r="560" spans="1:48" x14ac:dyDescent="0.25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 spans="1:48" x14ac:dyDescent="0.25">
      <c r="A561" s="11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</row>
    <row r="562" spans="1:48" x14ac:dyDescent="0.25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 spans="1:48" x14ac:dyDescent="0.25">
      <c r="A563" s="11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</row>
    <row r="564" spans="1:48" x14ac:dyDescent="0.25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 spans="1:48" x14ac:dyDescent="0.25">
      <c r="A565" s="11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</row>
    <row r="566" spans="1:48" x14ac:dyDescent="0.25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 spans="1:48" x14ac:dyDescent="0.25">
      <c r="A567" s="11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</row>
    <row r="568" spans="1:48" x14ac:dyDescent="0.25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 spans="1:48" x14ac:dyDescent="0.25">
      <c r="A569" s="11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</row>
    <row r="570" spans="1:48" x14ac:dyDescent="0.25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 spans="1:48" x14ac:dyDescent="0.25">
      <c r="A571" s="11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</row>
    <row r="572" spans="1:48" x14ac:dyDescent="0.25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 spans="1:48" x14ac:dyDescent="0.25">
      <c r="A573" s="11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</row>
    <row r="574" spans="1:48" x14ac:dyDescent="0.25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 spans="1:48" x14ac:dyDescent="0.25">
      <c r="A575" s="11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</row>
    <row r="576" spans="1:48" x14ac:dyDescent="0.25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 spans="1:48" x14ac:dyDescent="0.25">
      <c r="A577" s="11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</row>
    <row r="578" spans="1:48" x14ac:dyDescent="0.25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 spans="1:48" x14ac:dyDescent="0.25">
      <c r="A579" s="11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</row>
    <row r="580" spans="1:48" x14ac:dyDescent="0.25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 spans="1:48" x14ac:dyDescent="0.25">
      <c r="A581" s="11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</row>
    <row r="582" spans="1:48" x14ac:dyDescent="0.25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 spans="1:48" x14ac:dyDescent="0.25">
      <c r="A583" s="11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</row>
    <row r="584" spans="1:48" x14ac:dyDescent="0.25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 spans="1:48" x14ac:dyDescent="0.25">
      <c r="A585" s="11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</row>
    <row r="586" spans="1:48" x14ac:dyDescent="0.25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 spans="1:48" x14ac:dyDescent="0.25">
      <c r="A587" s="11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</row>
    <row r="588" spans="1:48" x14ac:dyDescent="0.25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 spans="1:48" x14ac:dyDescent="0.25">
      <c r="A589" s="11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</row>
    <row r="590" spans="1:48" x14ac:dyDescent="0.25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 spans="1:48" x14ac:dyDescent="0.25">
      <c r="A591" s="11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</row>
    <row r="592" spans="1:48" x14ac:dyDescent="0.25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 spans="1:48" x14ac:dyDescent="0.25">
      <c r="A593" s="11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</row>
    <row r="594" spans="1:48" x14ac:dyDescent="0.25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 spans="1:48" x14ac:dyDescent="0.25">
      <c r="A595" s="11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</row>
    <row r="596" spans="1:48" x14ac:dyDescent="0.25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 spans="1:48" x14ac:dyDescent="0.25">
      <c r="A597" s="11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</row>
    <row r="598" spans="1:48" x14ac:dyDescent="0.25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 spans="1:48" x14ac:dyDescent="0.25">
      <c r="A599" s="11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</row>
    <row r="600" spans="1:48" x14ac:dyDescent="0.25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 spans="1:48" x14ac:dyDescent="0.25">
      <c r="A601" s="11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</row>
    <row r="602" spans="1:48" x14ac:dyDescent="0.2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 spans="1:48" x14ac:dyDescent="0.25">
      <c r="A603" s="11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</row>
    <row r="604" spans="1:48" x14ac:dyDescent="0.2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 spans="1:48" x14ac:dyDescent="0.25">
      <c r="A605" s="11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</row>
    <row r="606" spans="1:48" x14ac:dyDescent="0.25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 spans="1:48" x14ac:dyDescent="0.25">
      <c r="A607" s="11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</row>
    <row r="608" spans="1:48" x14ac:dyDescent="0.2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 spans="1:48" x14ac:dyDescent="0.25">
      <c r="A609" s="11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</row>
    <row r="610" spans="1:48" x14ac:dyDescent="0.25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 spans="1:48" x14ac:dyDescent="0.25">
      <c r="A611" s="11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</row>
    <row r="612" spans="1:48" x14ac:dyDescent="0.25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 spans="1:48" x14ac:dyDescent="0.25">
      <c r="A613" s="11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</row>
    <row r="614" spans="1:48" x14ac:dyDescent="0.2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 spans="1:48" x14ac:dyDescent="0.25">
      <c r="A615" s="11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</row>
    <row r="616" spans="1:48" x14ac:dyDescent="0.2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 spans="1:48" x14ac:dyDescent="0.25">
      <c r="A617" s="11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</row>
    <row r="618" spans="1:48" x14ac:dyDescent="0.2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 spans="1:48" x14ac:dyDescent="0.25">
      <c r="A619" s="11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</row>
    <row r="620" spans="1:48" x14ac:dyDescent="0.25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 spans="1:48" x14ac:dyDescent="0.25">
      <c r="A621" s="11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</row>
    <row r="622" spans="1:48" x14ac:dyDescent="0.25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 spans="1:48" x14ac:dyDescent="0.25">
      <c r="A623" s="11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</row>
    <row r="624" spans="1:48" x14ac:dyDescent="0.25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 spans="1:48" x14ac:dyDescent="0.25">
      <c r="A625" s="11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</row>
    <row r="626" spans="1:48" x14ac:dyDescent="0.25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 spans="1:48" x14ac:dyDescent="0.25">
      <c r="A627" s="11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</row>
    <row r="628" spans="1:48" x14ac:dyDescent="0.25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 spans="1:48" x14ac:dyDescent="0.25">
      <c r="A629" s="11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</row>
    <row r="630" spans="1:48" x14ac:dyDescent="0.25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 spans="1:48" x14ac:dyDescent="0.25">
      <c r="A631" s="11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</row>
    <row r="632" spans="1:48" x14ac:dyDescent="0.25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 spans="1:48" x14ac:dyDescent="0.25">
      <c r="A633" s="11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</row>
    <row r="634" spans="1:48" x14ac:dyDescent="0.25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 spans="1:48" x14ac:dyDescent="0.25">
      <c r="A635" s="11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</row>
    <row r="636" spans="1:48" x14ac:dyDescent="0.25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 spans="1:48" x14ac:dyDescent="0.25">
      <c r="A637" s="11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</row>
    <row r="638" spans="1:48" x14ac:dyDescent="0.25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 spans="1:48" x14ac:dyDescent="0.25">
      <c r="A639" s="11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</row>
    <row r="640" spans="1:48" x14ac:dyDescent="0.2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 spans="1:48" x14ac:dyDescent="0.25">
      <c r="A641" s="11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</row>
    <row r="642" spans="1:48" x14ac:dyDescent="0.25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 spans="1:48" x14ac:dyDescent="0.25">
      <c r="A643" s="11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</row>
    <row r="644" spans="1:48" x14ac:dyDescent="0.2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 spans="1:48" x14ac:dyDescent="0.25">
      <c r="A645" s="11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</row>
    <row r="646" spans="1:48" x14ac:dyDescent="0.2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 spans="1:48" x14ac:dyDescent="0.25">
      <c r="A647" s="11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</row>
    <row r="648" spans="1:48" x14ac:dyDescent="0.25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 spans="1:48" x14ac:dyDescent="0.25">
      <c r="A649" s="11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</row>
    <row r="650" spans="1:48" x14ac:dyDescent="0.25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 spans="1:48" x14ac:dyDescent="0.25">
      <c r="A651" s="11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</row>
    <row r="652" spans="1:48" x14ac:dyDescent="0.25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 spans="1:48" x14ac:dyDescent="0.25">
      <c r="A653" s="11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</row>
    <row r="654" spans="1:48" x14ac:dyDescent="0.25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 spans="1:48" x14ac:dyDescent="0.25">
      <c r="A655" s="11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</row>
    <row r="656" spans="1:48" x14ac:dyDescent="0.2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 spans="1:48" x14ac:dyDescent="0.25">
      <c r="A657" s="11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</row>
    <row r="658" spans="1:48" x14ac:dyDescent="0.2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 spans="1:48" x14ac:dyDescent="0.25">
      <c r="A659" s="11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</row>
    <row r="660" spans="1:48" x14ac:dyDescent="0.25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 spans="1:48" x14ac:dyDescent="0.25">
      <c r="A661" s="11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</row>
    <row r="662" spans="1:48" x14ac:dyDescent="0.25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 spans="1:48" x14ac:dyDescent="0.25">
      <c r="A663" s="11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</row>
    <row r="664" spans="1:48" x14ac:dyDescent="0.25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 spans="1:48" x14ac:dyDescent="0.25">
      <c r="A665" s="11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</row>
    <row r="666" spans="1:48" x14ac:dyDescent="0.25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 spans="1:48" x14ac:dyDescent="0.25">
      <c r="A667" s="11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</row>
    <row r="668" spans="1:48" x14ac:dyDescent="0.25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 spans="1:48" x14ac:dyDescent="0.25">
      <c r="A669" s="11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</row>
    <row r="670" spans="1:48" x14ac:dyDescent="0.25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 spans="1:48" x14ac:dyDescent="0.25">
      <c r="A671" s="11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</row>
    <row r="672" spans="1:48" x14ac:dyDescent="0.2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 spans="1:48" x14ac:dyDescent="0.25">
      <c r="A673" s="11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</row>
    <row r="674" spans="1:48" x14ac:dyDescent="0.25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 spans="1:48" x14ac:dyDescent="0.25">
      <c r="A675" s="11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</row>
    <row r="676" spans="1:48" x14ac:dyDescent="0.25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 spans="1:48" x14ac:dyDescent="0.25">
      <c r="A677" s="11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</row>
    <row r="678" spans="1:48" x14ac:dyDescent="0.25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 spans="1:48" x14ac:dyDescent="0.25">
      <c r="A679" s="11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</row>
    <row r="680" spans="1:48" x14ac:dyDescent="0.25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 spans="1:48" x14ac:dyDescent="0.25">
      <c r="A681" s="11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</row>
    <row r="682" spans="1:48" x14ac:dyDescent="0.25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 spans="1:48" x14ac:dyDescent="0.25">
      <c r="A683" s="11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</row>
    <row r="684" spans="1:48" x14ac:dyDescent="0.25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 spans="1:48" x14ac:dyDescent="0.25">
      <c r="A685" s="11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</row>
    <row r="686" spans="1:48" x14ac:dyDescent="0.25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 spans="1:48" x14ac:dyDescent="0.25">
      <c r="A687" s="11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</row>
    <row r="688" spans="1:48" x14ac:dyDescent="0.2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 spans="1:48" x14ac:dyDescent="0.25">
      <c r="A689" s="11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</row>
    <row r="690" spans="1:48" x14ac:dyDescent="0.25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 spans="1:48" x14ac:dyDescent="0.25">
      <c r="A691" s="11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</row>
    <row r="692" spans="1:48" x14ac:dyDescent="0.2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 spans="1:48" x14ac:dyDescent="0.25">
      <c r="A693" s="11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</row>
    <row r="694" spans="1:48" x14ac:dyDescent="0.25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 spans="1:48" x14ac:dyDescent="0.25">
      <c r="A695" s="11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</row>
    <row r="696" spans="1:48" x14ac:dyDescent="0.2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 spans="1:48" x14ac:dyDescent="0.25">
      <c r="A697" s="11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</row>
    <row r="698" spans="1:48" x14ac:dyDescent="0.25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 spans="1:48" x14ac:dyDescent="0.25">
      <c r="A699" s="11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</row>
    <row r="700" spans="1:48" x14ac:dyDescent="0.25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 spans="1:48" x14ac:dyDescent="0.25">
      <c r="A701" s="11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</row>
    <row r="702" spans="1:48" x14ac:dyDescent="0.2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 spans="1:48" x14ac:dyDescent="0.25">
      <c r="A703" s="11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</row>
    <row r="704" spans="1:48" x14ac:dyDescent="0.25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 spans="1:48" x14ac:dyDescent="0.25">
      <c r="A705" s="11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</row>
    <row r="706" spans="1:48" x14ac:dyDescent="0.25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 spans="1:48" x14ac:dyDescent="0.25">
      <c r="A707" s="11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</row>
    <row r="708" spans="1:48" x14ac:dyDescent="0.25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 spans="1:48" x14ac:dyDescent="0.25">
      <c r="A709" s="11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</row>
    <row r="710" spans="1:48" x14ac:dyDescent="0.2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 spans="1:48" x14ac:dyDescent="0.25">
      <c r="A711" s="11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</row>
    <row r="712" spans="1:48" x14ac:dyDescent="0.25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 spans="1:48" x14ac:dyDescent="0.25">
      <c r="A713" s="11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</row>
    <row r="714" spans="1:48" x14ac:dyDescent="0.25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 spans="1:48" x14ac:dyDescent="0.25">
      <c r="A715" s="11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</row>
    <row r="716" spans="1:48" x14ac:dyDescent="0.25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 spans="1:48" x14ac:dyDescent="0.25">
      <c r="A717" s="11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</row>
    <row r="718" spans="1:48" x14ac:dyDescent="0.25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 spans="1:48" x14ac:dyDescent="0.25">
      <c r="A719" s="11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</row>
    <row r="720" spans="1:48" x14ac:dyDescent="0.25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 spans="1:48" x14ac:dyDescent="0.25">
      <c r="A721" s="11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</row>
    <row r="722" spans="1:48" x14ac:dyDescent="0.25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 spans="1:48" x14ac:dyDescent="0.25">
      <c r="A723" s="11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</row>
    <row r="724" spans="1:48" x14ac:dyDescent="0.2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 spans="1:48" x14ac:dyDescent="0.25">
      <c r="A725" s="11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</row>
    <row r="726" spans="1:48" x14ac:dyDescent="0.25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 spans="1:48" x14ac:dyDescent="0.25">
      <c r="A727" s="11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</row>
    <row r="728" spans="1:48" x14ac:dyDescent="0.25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 spans="1:48" x14ac:dyDescent="0.25">
      <c r="A729" s="11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</row>
    <row r="730" spans="1:48" x14ac:dyDescent="0.25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 spans="1:48" x14ac:dyDescent="0.25">
      <c r="A731" s="11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</row>
    <row r="732" spans="1:48" x14ac:dyDescent="0.25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 spans="1:48" x14ac:dyDescent="0.25">
      <c r="A733" s="11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</row>
    <row r="734" spans="1:48" x14ac:dyDescent="0.2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 spans="1:48" x14ac:dyDescent="0.25">
      <c r="A735" s="11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</row>
    <row r="736" spans="1:48" x14ac:dyDescent="0.25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 spans="1:48" x14ac:dyDescent="0.25">
      <c r="A737" s="11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</row>
    <row r="738" spans="1:48" x14ac:dyDescent="0.25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 spans="1:48" x14ac:dyDescent="0.25">
      <c r="A739" s="11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</row>
    <row r="740" spans="1:48" x14ac:dyDescent="0.25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 spans="1:48" x14ac:dyDescent="0.25">
      <c r="A741" s="11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</row>
    <row r="742" spans="1:48" x14ac:dyDescent="0.25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 spans="1:48" x14ac:dyDescent="0.25">
      <c r="A743" s="11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</row>
    <row r="744" spans="1:48" x14ac:dyDescent="0.25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 spans="1:48" x14ac:dyDescent="0.25">
      <c r="A745" s="11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</row>
    <row r="746" spans="1:48" x14ac:dyDescent="0.25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 spans="1:48" x14ac:dyDescent="0.25">
      <c r="A747" s="11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</row>
    <row r="748" spans="1:48" x14ac:dyDescent="0.25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 spans="1:48" x14ac:dyDescent="0.25">
      <c r="A749" s="11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</row>
    <row r="750" spans="1:48" x14ac:dyDescent="0.25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 spans="1:48" x14ac:dyDescent="0.25">
      <c r="A751" s="11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</row>
    <row r="752" spans="1:48" x14ac:dyDescent="0.25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 spans="1:48" x14ac:dyDescent="0.25">
      <c r="A753" s="11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</row>
    <row r="754" spans="1:48" x14ac:dyDescent="0.2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 spans="1:48" x14ac:dyDescent="0.25">
      <c r="A755" s="11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</row>
    <row r="756" spans="1:48" x14ac:dyDescent="0.25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 spans="1:48" x14ac:dyDescent="0.25">
      <c r="A757" s="11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</row>
    <row r="758" spans="1:48" x14ac:dyDescent="0.25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 spans="1:48" x14ac:dyDescent="0.25">
      <c r="A759" s="11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</row>
    <row r="760" spans="1:48" x14ac:dyDescent="0.25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 spans="1:48" x14ac:dyDescent="0.25">
      <c r="A761" s="11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</row>
    <row r="762" spans="1:48" x14ac:dyDescent="0.25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 spans="1:48" x14ac:dyDescent="0.25">
      <c r="A763" s="11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</row>
    <row r="764" spans="1:48" x14ac:dyDescent="0.25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 spans="1:48" x14ac:dyDescent="0.25">
      <c r="A765" s="11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</row>
    <row r="766" spans="1:48" x14ac:dyDescent="0.25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 spans="1:48" x14ac:dyDescent="0.25">
      <c r="A767" s="11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</row>
    <row r="768" spans="1:48" x14ac:dyDescent="0.25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 spans="1:48" x14ac:dyDescent="0.25">
      <c r="A769" s="11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</row>
    <row r="770" spans="1:48" x14ac:dyDescent="0.25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 spans="1:48" x14ac:dyDescent="0.25">
      <c r="A771" s="11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</row>
    <row r="772" spans="1:48" x14ac:dyDescent="0.25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 spans="1:48" x14ac:dyDescent="0.25">
      <c r="A773" s="11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</row>
    <row r="774" spans="1:48" x14ac:dyDescent="0.25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 spans="1:48" x14ac:dyDescent="0.25">
      <c r="A775" s="11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</row>
    <row r="776" spans="1:48" x14ac:dyDescent="0.25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 spans="1:48" x14ac:dyDescent="0.25">
      <c r="A777" s="11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</row>
    <row r="778" spans="1:48" x14ac:dyDescent="0.25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 spans="1:48" x14ac:dyDescent="0.25">
      <c r="A779" s="11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</row>
    <row r="780" spans="1:48" x14ac:dyDescent="0.25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 spans="1:48" x14ac:dyDescent="0.25">
      <c r="A781" s="11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</row>
    <row r="782" spans="1:48" x14ac:dyDescent="0.25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 spans="1:48" x14ac:dyDescent="0.25">
      <c r="A783" s="11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</row>
    <row r="784" spans="1:48" x14ac:dyDescent="0.25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 spans="1:48" x14ac:dyDescent="0.25">
      <c r="A785" s="11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</row>
  </sheetData>
  <mergeCells count="2">
    <mergeCell ref="A1:AS1"/>
    <mergeCell ref="B2:AS2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BD1569"/>
  <sheetViews>
    <sheetView zoomScale="85" zoomScaleNormal="110" workbookViewId="0">
      <pane xSplit="1" ySplit="5" topLeftCell="AI324" activePane="bottomRight" state="frozen"/>
      <selection pane="topRight" activeCell="B1" sqref="B1"/>
      <selection pane="bottomLeft" activeCell="A6" sqref="A6"/>
      <selection pane="bottomRight" activeCell="AU321" sqref="AU321:AZ334"/>
    </sheetView>
  </sheetViews>
  <sheetFormatPr defaultColWidth="8.7109375" defaultRowHeight="15" x14ac:dyDescent="0.25"/>
  <cols>
    <col min="1" max="1" width="20" style="1" customWidth="1"/>
    <col min="2" max="2" width="23" style="1" bestFit="1" customWidth="1"/>
    <col min="3" max="3" width="25.5703125" style="1" bestFit="1" customWidth="1"/>
    <col min="4" max="4" width="12.85546875" style="1" bestFit="1" customWidth="1"/>
    <col min="5" max="5" width="12.42578125" style="1" bestFit="1" customWidth="1"/>
    <col min="6" max="6" width="25.42578125" style="1" bestFit="1" customWidth="1"/>
    <col min="7" max="7" width="13.42578125" style="1" bestFit="1" customWidth="1"/>
    <col min="8" max="8" width="11" style="1" customWidth="1"/>
    <col min="9" max="9" width="25.42578125" style="1" bestFit="1" customWidth="1"/>
    <col min="10" max="10" width="14" style="1" customWidth="1"/>
    <col min="11" max="11" width="9.5703125" style="1" bestFit="1" customWidth="1"/>
    <col min="12" max="12" width="14" style="1" customWidth="1"/>
    <col min="13" max="13" width="12.140625" style="1" bestFit="1" customWidth="1"/>
    <col min="14" max="14" width="12.85546875" style="1" bestFit="1" customWidth="1"/>
    <col min="15" max="15" width="25.28515625" style="1" bestFit="1" customWidth="1"/>
    <col min="16" max="16" width="9.7109375" style="1" bestFit="1" customWidth="1"/>
    <col min="17" max="42" width="14" style="1" customWidth="1"/>
    <col min="43" max="43" width="25.5703125" style="1" bestFit="1" customWidth="1"/>
    <col min="44" max="49" width="14" style="1" customWidth="1"/>
    <col min="50" max="51" width="6" style="1" hidden="1" customWidth="1"/>
    <col min="52" max="52" width="27.85546875" bestFit="1" customWidth="1"/>
    <col min="53" max="53" width="14.85546875" bestFit="1" customWidth="1"/>
  </cols>
  <sheetData>
    <row r="1" spans="1:52" ht="27.75" customHeight="1" x14ac:dyDescent="0.25">
      <c r="A1" s="224" t="s">
        <v>153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38"/>
      <c r="AQ1" s="38"/>
      <c r="AR1" s="38"/>
      <c r="AS1" s="38"/>
    </row>
    <row r="2" spans="1:52" ht="21.75" customHeight="1" x14ac:dyDescent="0.25">
      <c r="A2" s="2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39"/>
      <c r="AQ2" s="39"/>
      <c r="AR2" s="39"/>
      <c r="AS2" s="39"/>
    </row>
    <row r="3" spans="1:52" ht="19.5" customHeight="1" x14ac:dyDescent="0.25">
      <c r="A3" s="3" t="s">
        <v>2</v>
      </c>
      <c r="B3" s="3" t="s">
        <v>3</v>
      </c>
      <c r="C3" s="3" t="s">
        <v>4</v>
      </c>
      <c r="D3" s="3" t="s">
        <v>471</v>
      </c>
      <c r="E3" s="3" t="s">
        <v>6</v>
      </c>
      <c r="F3" s="3" t="s">
        <v>7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19</v>
      </c>
      <c r="S3" s="3" t="s">
        <v>21</v>
      </c>
      <c r="T3" s="3" t="s">
        <v>22</v>
      </c>
      <c r="U3" s="3" t="s">
        <v>44</v>
      </c>
      <c r="V3" s="3" t="s">
        <v>24</v>
      </c>
      <c r="W3" s="3" t="s">
        <v>26</v>
      </c>
      <c r="X3" s="3" t="s">
        <v>27</v>
      </c>
      <c r="Y3" s="3" t="s">
        <v>25</v>
      </c>
      <c r="Z3" s="3" t="s">
        <v>28</v>
      </c>
      <c r="AA3" s="3" t="s">
        <v>29</v>
      </c>
      <c r="AB3" s="3" t="s">
        <v>30</v>
      </c>
      <c r="AC3" s="3" t="s">
        <v>9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43</v>
      </c>
      <c r="AP3" s="3" t="s">
        <v>44</v>
      </c>
      <c r="AQ3" s="3" t="s">
        <v>45</v>
      </c>
      <c r="AR3" s="3" t="s">
        <v>46</v>
      </c>
      <c r="AS3" s="3" t="s">
        <v>9</v>
      </c>
      <c r="AT3" s="3" t="s">
        <v>8</v>
      </c>
      <c r="AU3" s="4" t="s">
        <v>47</v>
      </c>
      <c r="AV3" s="4" t="s">
        <v>48</v>
      </c>
      <c r="AW3" s="4" t="s">
        <v>49</v>
      </c>
      <c r="AX3" s="5" t="s">
        <v>50</v>
      </c>
      <c r="AY3" s="5" t="s">
        <v>51</v>
      </c>
    </row>
    <row r="4" spans="1:52" ht="48" customHeight="1" x14ac:dyDescent="0.25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59</v>
      </c>
      <c r="H4" s="6" t="s">
        <v>60</v>
      </c>
      <c r="I4" s="6" t="s">
        <v>61</v>
      </c>
      <c r="J4" s="6" t="s">
        <v>62</v>
      </c>
      <c r="K4" s="6" t="s">
        <v>63</v>
      </c>
      <c r="L4" s="6" t="s">
        <v>64</v>
      </c>
      <c r="M4" s="6" t="s">
        <v>65</v>
      </c>
      <c r="N4" s="6" t="s">
        <v>66</v>
      </c>
      <c r="O4" s="6" t="s">
        <v>67</v>
      </c>
      <c r="P4" s="6" t="s">
        <v>68</v>
      </c>
      <c r="Q4" s="6" t="s">
        <v>69</v>
      </c>
      <c r="R4" s="6" t="s">
        <v>69</v>
      </c>
      <c r="S4" s="6" t="s">
        <v>71</v>
      </c>
      <c r="T4" s="6" t="s">
        <v>72</v>
      </c>
      <c r="U4" s="6" t="s">
        <v>73</v>
      </c>
      <c r="V4" s="6" t="s">
        <v>74</v>
      </c>
      <c r="W4" s="6" t="s">
        <v>76</v>
      </c>
      <c r="X4" s="6" t="s">
        <v>77</v>
      </c>
      <c r="Y4" s="6" t="s">
        <v>75</v>
      </c>
      <c r="Z4" s="6" t="s">
        <v>78</v>
      </c>
      <c r="AA4" s="6" t="s">
        <v>79</v>
      </c>
      <c r="AB4" s="6" t="s">
        <v>80</v>
      </c>
      <c r="AC4" s="6" t="s">
        <v>81</v>
      </c>
      <c r="AD4" s="6" t="s">
        <v>82</v>
      </c>
      <c r="AE4" s="6" t="s">
        <v>83</v>
      </c>
      <c r="AF4" s="6" t="s">
        <v>84</v>
      </c>
      <c r="AG4" s="6" t="s">
        <v>85</v>
      </c>
      <c r="AH4" s="6" t="s">
        <v>86</v>
      </c>
      <c r="AI4" s="6" t="s">
        <v>87</v>
      </c>
      <c r="AJ4" s="6" t="s">
        <v>88</v>
      </c>
      <c r="AK4" s="6" t="s">
        <v>89</v>
      </c>
      <c r="AL4" s="6" t="s">
        <v>90</v>
      </c>
      <c r="AM4" s="6" t="s">
        <v>91</v>
      </c>
      <c r="AN4" s="6" t="s">
        <v>92</v>
      </c>
      <c r="AO4" s="6" t="s">
        <v>93</v>
      </c>
      <c r="AP4" s="6" t="s">
        <v>94</v>
      </c>
      <c r="AQ4" s="6" t="s">
        <v>154</v>
      </c>
      <c r="AR4" s="6" t="s">
        <v>96</v>
      </c>
      <c r="AS4" s="6" t="s">
        <v>81</v>
      </c>
      <c r="AT4" s="6" t="s">
        <v>155</v>
      </c>
      <c r="AU4" s="7" t="s">
        <v>97</v>
      </c>
      <c r="AV4" s="7" t="s">
        <v>98</v>
      </c>
      <c r="AW4" s="7" t="s">
        <v>99</v>
      </c>
      <c r="AX4" s="8" t="s">
        <v>100</v>
      </c>
      <c r="AY4" s="8" t="s">
        <v>101</v>
      </c>
      <c r="AZ4" s="135" t="s">
        <v>2229</v>
      </c>
    </row>
    <row r="5" spans="1:52" ht="18" customHeight="1" x14ac:dyDescent="0.25">
      <c r="A5" s="6" t="s">
        <v>102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0"/>
      <c r="AW5" s="10"/>
    </row>
    <row r="6" spans="1:52" ht="15.75" customHeight="1" x14ac:dyDescent="0.25">
      <c r="A6" s="11">
        <v>46174</v>
      </c>
      <c r="B6" s="12"/>
      <c r="C6" s="12"/>
      <c r="D6" s="12"/>
      <c r="E6" s="12"/>
      <c r="F6" s="12" t="s">
        <v>156</v>
      </c>
      <c r="G6" s="12"/>
      <c r="H6" s="12"/>
      <c r="I6" s="12" t="s">
        <v>157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 t="s">
        <v>158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 t="s">
        <v>159</v>
      </c>
      <c r="AR6" s="12"/>
      <c r="AS6" s="12" t="s">
        <v>160</v>
      </c>
      <c r="AT6" s="12" t="s">
        <v>161</v>
      </c>
      <c r="AU6" s="116" t="s">
        <v>162</v>
      </c>
      <c r="AV6" s="116" t="s">
        <v>163</v>
      </c>
      <c r="AW6" s="12"/>
      <c r="AX6" s="14">
        <f t="shared" ref="AX6:AX37" si="0">IF(A6="","",IF(ISNUMBER(A6),MONTH(A6),IFERROR(VALUE(MID(A6,FIND(".",A6)+1,FIND(".",A6,FIND(".",A6)+1)-FIND(".",A6)-1)),"")))</f>
        <v>6</v>
      </c>
      <c r="AY6" s="14">
        <f t="shared" ref="AY6:AY37" si="1">IF(A6="","",IF(ISNUMBER(A6),YEAR(A6),IFERROR(VALUE(RIGHT(A6,4)),"")))</f>
        <v>2026</v>
      </c>
    </row>
    <row r="7" spans="1:52" ht="15.75" customHeight="1" x14ac:dyDescent="0.25">
      <c r="A7" s="11">
        <v>46174</v>
      </c>
      <c r="B7" s="15"/>
      <c r="C7" s="15"/>
      <c r="D7" s="15"/>
      <c r="E7" s="12" t="s">
        <v>464</v>
      </c>
      <c r="F7" s="15" t="s">
        <v>164</v>
      </c>
      <c r="G7" s="15"/>
      <c r="H7" s="15"/>
      <c r="I7" s="15" t="s">
        <v>165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 t="s">
        <v>166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17" t="s">
        <v>167</v>
      </c>
      <c r="AW7" s="15"/>
      <c r="AX7" s="14">
        <f t="shared" si="0"/>
        <v>6</v>
      </c>
      <c r="AY7" s="14">
        <f t="shared" si="1"/>
        <v>2026</v>
      </c>
    </row>
    <row r="8" spans="1:52" ht="15.75" customHeight="1" thickBot="1" x14ac:dyDescent="0.3">
      <c r="A8" s="16">
        <v>46174</v>
      </c>
      <c r="B8" s="17"/>
      <c r="C8" s="17"/>
      <c r="D8" s="17"/>
      <c r="E8" s="17"/>
      <c r="F8" s="17" t="s">
        <v>168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4">
        <f t="shared" si="0"/>
        <v>6</v>
      </c>
      <c r="AY8" s="14">
        <f t="shared" si="1"/>
        <v>2026</v>
      </c>
    </row>
    <row r="9" spans="1:52" s="13" customFormat="1" ht="15.75" customHeight="1" thickBot="1" x14ac:dyDescent="0.3">
      <c r="A9" s="18">
        <v>46175</v>
      </c>
      <c r="B9" s="20" t="s">
        <v>169</v>
      </c>
      <c r="C9" s="20"/>
      <c r="D9" s="20"/>
      <c r="E9" s="20"/>
      <c r="F9" s="20" t="s">
        <v>170</v>
      </c>
      <c r="G9" s="20"/>
      <c r="H9" s="20"/>
      <c r="I9" s="20"/>
      <c r="J9" s="20"/>
      <c r="K9" s="20"/>
      <c r="L9" s="20"/>
      <c r="M9" s="20"/>
      <c r="N9" s="20"/>
      <c r="O9" s="20" t="s">
        <v>171</v>
      </c>
      <c r="P9" s="20"/>
      <c r="Q9" s="20"/>
      <c r="R9" s="20"/>
      <c r="S9" s="20"/>
      <c r="T9" s="20"/>
      <c r="U9" s="20"/>
      <c r="V9" s="20"/>
      <c r="W9" s="20"/>
      <c r="X9" s="20" t="s">
        <v>172</v>
      </c>
      <c r="Y9" s="20"/>
      <c r="Z9" s="20"/>
      <c r="AA9" s="20"/>
      <c r="AB9" s="20"/>
      <c r="AC9" s="20"/>
      <c r="AD9" s="20"/>
      <c r="AE9" s="20"/>
      <c r="AF9" s="20" t="s">
        <v>173</v>
      </c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 t="s">
        <v>174</v>
      </c>
      <c r="AT9" s="20"/>
      <c r="AU9" s="20"/>
      <c r="AV9" s="119" t="s">
        <v>175</v>
      </c>
      <c r="AW9" s="119" t="s">
        <v>176</v>
      </c>
      <c r="AX9" s="21">
        <f t="shared" si="0"/>
        <v>6</v>
      </c>
      <c r="AY9" s="21">
        <f t="shared" si="1"/>
        <v>2026</v>
      </c>
    </row>
    <row r="10" spans="1:52" ht="15.75" customHeight="1" thickTop="1" thickBot="1" x14ac:dyDescent="0.3">
      <c r="A10" s="40">
        <v>46175</v>
      </c>
      <c r="B10" s="12"/>
      <c r="C10" s="12"/>
      <c r="D10" s="12"/>
      <c r="E10" s="12"/>
      <c r="F10" s="12" t="s">
        <v>177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16" t="s">
        <v>178</v>
      </c>
      <c r="AW10" s="12"/>
      <c r="AX10" s="14">
        <f t="shared" si="0"/>
        <v>6</v>
      </c>
      <c r="AY10" s="14">
        <f t="shared" si="1"/>
        <v>2026</v>
      </c>
    </row>
    <row r="11" spans="1:52" ht="15.75" customHeight="1" thickTop="1" thickBot="1" x14ac:dyDescent="0.3">
      <c r="A11" s="40">
        <v>46175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17" t="s">
        <v>179</v>
      </c>
      <c r="AW11" s="15"/>
      <c r="AX11" s="14">
        <f t="shared" si="0"/>
        <v>6</v>
      </c>
      <c r="AY11" s="14">
        <f t="shared" si="1"/>
        <v>2026</v>
      </c>
    </row>
    <row r="12" spans="1:52" ht="15.75" customHeight="1" thickTop="1" thickBot="1" x14ac:dyDescent="0.3">
      <c r="A12" s="40">
        <v>46175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6" t="s">
        <v>180</v>
      </c>
      <c r="AW12" s="12"/>
      <c r="AX12" s="14">
        <f t="shared" si="0"/>
        <v>6</v>
      </c>
      <c r="AY12" s="14">
        <f t="shared" si="1"/>
        <v>2026</v>
      </c>
    </row>
    <row r="13" spans="1:52" ht="15.75" customHeight="1" thickTop="1" thickBot="1" x14ac:dyDescent="0.3">
      <c r="A13" s="41">
        <v>46175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152" t="s">
        <v>181</v>
      </c>
      <c r="AW13" s="42"/>
      <c r="AX13" s="14">
        <f t="shared" si="0"/>
        <v>6</v>
      </c>
      <c r="AY13" s="14">
        <f t="shared" si="1"/>
        <v>2026</v>
      </c>
    </row>
    <row r="14" spans="1:52" s="44" customFormat="1" ht="15.75" customHeight="1" x14ac:dyDescent="0.25">
      <c r="A14" s="18">
        <v>46176</v>
      </c>
      <c r="B14" s="19"/>
      <c r="C14" s="19"/>
      <c r="D14" s="19"/>
      <c r="E14" s="19"/>
      <c r="F14" s="19" t="s">
        <v>182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 t="s">
        <v>183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 t="s">
        <v>184</v>
      </c>
      <c r="AR14" s="19"/>
      <c r="AS14" s="19"/>
      <c r="AT14" s="19"/>
      <c r="AU14" s="153" t="s">
        <v>185</v>
      </c>
      <c r="AV14" s="153" t="s">
        <v>186</v>
      </c>
      <c r="AW14" s="153" t="s">
        <v>187</v>
      </c>
      <c r="AX14" s="43">
        <f t="shared" si="0"/>
        <v>6</v>
      </c>
      <c r="AY14" s="43">
        <f t="shared" si="1"/>
        <v>2026</v>
      </c>
    </row>
    <row r="15" spans="1:52" ht="15.75" customHeight="1" thickBot="1" x14ac:dyDescent="0.3">
      <c r="A15" s="45">
        <v>46176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 t="s">
        <v>188</v>
      </c>
      <c r="AR15" s="46"/>
      <c r="AS15" s="46"/>
      <c r="AT15" s="46"/>
      <c r="AU15" s="46"/>
      <c r="AV15" s="46"/>
      <c r="AW15" s="46"/>
      <c r="AX15" s="14">
        <f t="shared" si="0"/>
        <v>6</v>
      </c>
      <c r="AY15" s="14">
        <f t="shared" si="1"/>
        <v>2026</v>
      </c>
    </row>
    <row r="16" spans="1:52" s="44" customFormat="1" ht="15.75" customHeight="1" x14ac:dyDescent="0.25">
      <c r="A16" s="30">
        <v>46177</v>
      </c>
      <c r="B16" s="19"/>
      <c r="C16" s="19" t="s">
        <v>189</v>
      </c>
      <c r="D16" s="19"/>
      <c r="E16" s="19"/>
      <c r="F16" s="19" t="s">
        <v>190</v>
      </c>
      <c r="G16" s="19"/>
      <c r="H16" s="19"/>
      <c r="I16" s="19" t="s">
        <v>191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 t="s">
        <v>192</v>
      </c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 t="s">
        <v>193</v>
      </c>
      <c r="AR16" s="19"/>
      <c r="AS16" s="19"/>
      <c r="AT16" s="19"/>
      <c r="AU16" s="153" t="s">
        <v>194</v>
      </c>
      <c r="AV16" s="19"/>
      <c r="AW16" s="47"/>
      <c r="AX16" s="43">
        <f t="shared" si="0"/>
        <v>6</v>
      </c>
      <c r="AY16" s="43">
        <f t="shared" si="1"/>
        <v>2026</v>
      </c>
    </row>
    <row r="17" spans="1:51" ht="15.75" customHeight="1" x14ac:dyDescent="0.25">
      <c r="A17" s="48">
        <v>46177</v>
      </c>
      <c r="B17" s="29"/>
      <c r="C17" s="29"/>
      <c r="D17" s="29"/>
      <c r="E17" s="29"/>
      <c r="F17" s="15" t="s">
        <v>195</v>
      </c>
      <c r="G17" s="29"/>
      <c r="H17" s="29"/>
      <c r="I17" s="29" t="s">
        <v>196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121" t="s">
        <v>197</v>
      </c>
      <c r="AV17" s="29"/>
      <c r="AW17" s="49"/>
      <c r="AX17" s="14">
        <f t="shared" si="0"/>
        <v>6</v>
      </c>
      <c r="AY17" s="14">
        <f t="shared" si="1"/>
        <v>2026</v>
      </c>
    </row>
    <row r="18" spans="1:51" ht="15.75" customHeight="1" thickBot="1" x14ac:dyDescent="0.3">
      <c r="A18" s="34">
        <v>46177</v>
      </c>
      <c r="B18" s="50"/>
      <c r="C18" s="50"/>
      <c r="D18" s="50"/>
      <c r="E18" s="50"/>
      <c r="F18" s="50" t="s">
        <v>198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154" t="s">
        <v>199</v>
      </c>
      <c r="AV18" s="50"/>
      <c r="AW18" s="51"/>
      <c r="AX18" s="14">
        <f t="shared" si="0"/>
        <v>6</v>
      </c>
      <c r="AY18" s="14">
        <f t="shared" si="1"/>
        <v>2026</v>
      </c>
    </row>
    <row r="19" spans="1:51" ht="15.75" customHeight="1" x14ac:dyDescent="0.25">
      <c r="A19" s="28">
        <v>46178</v>
      </c>
      <c r="B19" s="29"/>
      <c r="C19" s="29"/>
      <c r="D19" s="29"/>
      <c r="E19" s="29"/>
      <c r="F19" s="29" t="s">
        <v>411</v>
      </c>
      <c r="G19" s="29"/>
      <c r="H19" s="29"/>
      <c r="I19" s="29" t="s">
        <v>410</v>
      </c>
      <c r="J19" s="29"/>
      <c r="K19" s="29"/>
      <c r="L19" s="29"/>
      <c r="M19" s="29"/>
      <c r="N19" s="29"/>
      <c r="O19" s="29" t="s">
        <v>407</v>
      </c>
      <c r="P19" s="29"/>
      <c r="Q19" s="29"/>
      <c r="R19" s="29"/>
      <c r="S19" s="29"/>
      <c r="T19" s="29"/>
      <c r="U19" s="29"/>
      <c r="V19" s="29"/>
      <c r="W19" s="29"/>
      <c r="X19" s="29" t="s">
        <v>408</v>
      </c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 t="s">
        <v>405</v>
      </c>
      <c r="AU19" s="121" t="s">
        <v>406</v>
      </c>
      <c r="AV19" s="29"/>
      <c r="AW19" s="121" t="s">
        <v>409</v>
      </c>
      <c r="AX19" s="14">
        <f t="shared" si="0"/>
        <v>6</v>
      </c>
      <c r="AY19" s="14">
        <f t="shared" si="1"/>
        <v>2026</v>
      </c>
    </row>
    <row r="20" spans="1:51" ht="15.75" customHeight="1" thickBot="1" x14ac:dyDescent="0.3">
      <c r="A20" s="16">
        <v>46178</v>
      </c>
      <c r="B20" s="17"/>
      <c r="C20" s="17"/>
      <c r="D20" s="17"/>
      <c r="E20" s="17"/>
      <c r="F20" s="17"/>
      <c r="G20" s="17"/>
      <c r="H20" s="17"/>
      <c r="I20" s="17" t="s">
        <v>412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18" t="s">
        <v>413</v>
      </c>
      <c r="AV20" s="17"/>
      <c r="AW20" s="17"/>
      <c r="AX20" s="14">
        <f t="shared" si="0"/>
        <v>6</v>
      </c>
      <c r="AY20" s="14">
        <f t="shared" si="1"/>
        <v>2026</v>
      </c>
    </row>
    <row r="21" spans="1:51" s="105" customFormat="1" ht="15.75" customHeight="1" x14ac:dyDescent="0.25">
      <c r="A21" s="30">
        <v>46181</v>
      </c>
      <c r="B21" s="106"/>
      <c r="C21" s="106"/>
      <c r="D21" s="106"/>
      <c r="E21" s="106"/>
      <c r="F21" s="106"/>
      <c r="G21" s="106"/>
      <c r="H21" s="106"/>
      <c r="I21" s="106" t="s">
        <v>424</v>
      </c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 t="s">
        <v>428</v>
      </c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 t="s">
        <v>430</v>
      </c>
      <c r="AR21" s="106"/>
      <c r="AS21" s="106"/>
      <c r="AT21" s="106"/>
      <c r="AU21" s="106"/>
      <c r="AV21" s="155" t="s">
        <v>436</v>
      </c>
      <c r="AW21" s="123" t="s">
        <v>431</v>
      </c>
      <c r="AX21" s="104">
        <f t="shared" si="0"/>
        <v>6</v>
      </c>
      <c r="AY21" s="104">
        <f t="shared" si="1"/>
        <v>2026</v>
      </c>
    </row>
    <row r="22" spans="1:51" ht="15.75" customHeight="1" thickBot="1" x14ac:dyDescent="0.3">
      <c r="A22" s="34">
        <v>46181</v>
      </c>
      <c r="B22" s="50"/>
      <c r="C22" s="50"/>
      <c r="D22" s="50"/>
      <c r="E22" s="50"/>
      <c r="F22" s="50"/>
      <c r="G22" s="50"/>
      <c r="H22" s="50"/>
      <c r="I22" s="50" t="s">
        <v>426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1"/>
      <c r="AX22" s="14">
        <f t="shared" si="0"/>
        <v>6</v>
      </c>
      <c r="AY22" s="14">
        <f t="shared" si="1"/>
        <v>2026</v>
      </c>
    </row>
    <row r="23" spans="1:51" ht="15.75" customHeight="1" x14ac:dyDescent="0.25">
      <c r="A23" s="28">
        <v>46182</v>
      </c>
      <c r="B23" s="29"/>
      <c r="C23" s="29" t="s">
        <v>476</v>
      </c>
      <c r="D23" s="29"/>
      <c r="E23" s="29"/>
      <c r="F23" s="29" t="s">
        <v>366</v>
      </c>
      <c r="G23" s="29"/>
      <c r="H23" s="29"/>
      <c r="I23" s="29" t="s">
        <v>437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 t="s">
        <v>463</v>
      </c>
      <c r="X23" s="29" t="s">
        <v>478</v>
      </c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121" t="s">
        <v>466</v>
      </c>
      <c r="AV23" s="121" t="s">
        <v>459</v>
      </c>
      <c r="AW23" s="121" t="s">
        <v>469</v>
      </c>
      <c r="AX23" s="14">
        <f t="shared" si="0"/>
        <v>6</v>
      </c>
      <c r="AY23" s="14">
        <f t="shared" si="1"/>
        <v>2026</v>
      </c>
    </row>
    <row r="24" spans="1:51" ht="15.75" customHeight="1" x14ac:dyDescent="0.25">
      <c r="A24" s="11">
        <v>46182</v>
      </c>
      <c r="B24" s="12"/>
      <c r="C24" s="12"/>
      <c r="D24" s="12"/>
      <c r="E24" s="12"/>
      <c r="F24" s="1" t="s">
        <v>479</v>
      </c>
      <c r="G24" s="12"/>
      <c r="H24" s="12"/>
      <c r="I24" s="12" t="s">
        <v>477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 t="s">
        <v>473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16" t="s">
        <v>468</v>
      </c>
      <c r="AV24" s="116" t="s">
        <v>467</v>
      </c>
      <c r="AW24" s="116" t="s">
        <v>470</v>
      </c>
      <c r="AX24" s="14">
        <f t="shared" si="0"/>
        <v>6</v>
      </c>
      <c r="AY24" s="14">
        <f t="shared" si="1"/>
        <v>2026</v>
      </c>
    </row>
    <row r="25" spans="1:51" ht="15.75" customHeight="1" thickBot="1" x14ac:dyDescent="0.3">
      <c r="A25" s="16">
        <v>46182</v>
      </c>
      <c r="B25" s="42"/>
      <c r="C25" s="42"/>
      <c r="D25" s="42"/>
      <c r="E25" s="42"/>
      <c r="F25" s="42" t="s">
        <v>464</v>
      </c>
      <c r="G25" s="42"/>
      <c r="H25" s="42"/>
      <c r="I25" s="42" t="s">
        <v>425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152" t="s">
        <v>429</v>
      </c>
      <c r="AV25" s="152" t="s">
        <v>472</v>
      </c>
      <c r="AW25" s="42"/>
      <c r="AX25" s="14">
        <f t="shared" si="0"/>
        <v>6</v>
      </c>
      <c r="AY25" s="14">
        <f t="shared" si="1"/>
        <v>2026</v>
      </c>
    </row>
    <row r="26" spans="1:51" s="105" customFormat="1" ht="15.75" customHeight="1" x14ac:dyDescent="0.25">
      <c r="A26" s="18">
        <v>46183</v>
      </c>
      <c r="B26" s="19"/>
      <c r="C26" s="19" t="s">
        <v>462</v>
      </c>
      <c r="D26" s="19"/>
      <c r="E26" s="19"/>
      <c r="F26" s="19" t="s">
        <v>507</v>
      </c>
      <c r="G26" s="19"/>
      <c r="H26" s="19"/>
      <c r="I26" s="19" t="s">
        <v>531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 t="s">
        <v>427</v>
      </c>
      <c r="X26" s="19" t="s">
        <v>525</v>
      </c>
      <c r="Y26" s="19"/>
      <c r="Z26" s="19"/>
      <c r="AA26" s="19"/>
      <c r="AB26" s="19"/>
      <c r="AC26" s="19" t="s">
        <v>529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 t="s">
        <v>512</v>
      </c>
      <c r="AR26" s="19"/>
      <c r="AS26" s="19"/>
      <c r="AT26" s="19"/>
      <c r="AU26" s="153" t="s">
        <v>519</v>
      </c>
      <c r="AV26" s="153" t="s">
        <v>508</v>
      </c>
      <c r="AW26" s="153" t="s">
        <v>528</v>
      </c>
      <c r="AX26" s="104">
        <f t="shared" si="0"/>
        <v>6</v>
      </c>
      <c r="AY26" s="104">
        <f t="shared" si="1"/>
        <v>2026</v>
      </c>
    </row>
    <row r="27" spans="1:51" ht="15.75" customHeight="1" x14ac:dyDescent="0.25">
      <c r="A27" s="11">
        <v>46183</v>
      </c>
      <c r="B27" s="15"/>
      <c r="C27" s="15"/>
      <c r="D27" s="15"/>
      <c r="E27" s="15"/>
      <c r="F27" s="15" t="s">
        <v>510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 t="s">
        <v>513</v>
      </c>
      <c r="AR27" s="15"/>
      <c r="AS27" s="15"/>
      <c r="AT27" s="15"/>
      <c r="AU27" s="117" t="s">
        <v>521</v>
      </c>
      <c r="AV27" s="117" t="s">
        <v>514</v>
      </c>
      <c r="AW27" s="15"/>
      <c r="AX27" s="14">
        <f t="shared" si="0"/>
        <v>6</v>
      </c>
      <c r="AY27" s="14">
        <f t="shared" si="1"/>
        <v>2026</v>
      </c>
    </row>
    <row r="28" spans="1:51" ht="15.75" customHeight="1" x14ac:dyDescent="0.25">
      <c r="A28" s="11">
        <v>46183</v>
      </c>
      <c r="B28" s="12"/>
      <c r="C28" s="12"/>
      <c r="D28" s="12"/>
      <c r="E28" s="12"/>
      <c r="F28" s="12" t="s">
        <v>511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 t="s">
        <v>520</v>
      </c>
      <c r="AR28" s="12"/>
      <c r="AS28" s="12"/>
      <c r="AT28" s="12"/>
      <c r="AU28" s="12"/>
      <c r="AV28" s="116" t="s">
        <v>532</v>
      </c>
      <c r="AW28" s="12"/>
      <c r="AX28" s="14">
        <f t="shared" si="0"/>
        <v>6</v>
      </c>
      <c r="AY28" s="14">
        <f t="shared" si="1"/>
        <v>2026</v>
      </c>
    </row>
    <row r="29" spans="1:51" ht="15.75" customHeight="1" x14ac:dyDescent="0.25">
      <c r="A29" s="11">
        <v>46183</v>
      </c>
      <c r="B29" s="15"/>
      <c r="C29" s="15"/>
      <c r="D29" s="15"/>
      <c r="E29" s="15"/>
      <c r="F29" s="15" t="s">
        <v>515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 t="s">
        <v>520</v>
      </c>
      <c r="AR29" s="15"/>
      <c r="AS29" s="15"/>
      <c r="AT29" s="15"/>
      <c r="AU29" s="15"/>
      <c r="AV29" s="15"/>
      <c r="AW29" s="15"/>
      <c r="AX29" s="14">
        <f t="shared" si="0"/>
        <v>6</v>
      </c>
      <c r="AY29" s="14">
        <f t="shared" si="1"/>
        <v>2026</v>
      </c>
    </row>
    <row r="30" spans="1:51" ht="15.75" customHeight="1" x14ac:dyDescent="0.25">
      <c r="A30" s="11">
        <v>46183</v>
      </c>
      <c r="B30" s="12"/>
      <c r="C30" s="12"/>
      <c r="D30" s="12"/>
      <c r="E30" s="12"/>
      <c r="F30" s="12" t="s">
        <v>522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4">
        <f t="shared" si="0"/>
        <v>6</v>
      </c>
      <c r="AY30" s="14">
        <f t="shared" si="1"/>
        <v>2026</v>
      </c>
    </row>
    <row r="31" spans="1:51" s="103" customFormat="1" ht="15.75" customHeight="1" thickBot="1" x14ac:dyDescent="0.3">
      <c r="A31" s="101">
        <v>46183</v>
      </c>
      <c r="B31" s="126"/>
      <c r="C31" s="126"/>
      <c r="D31" s="126"/>
      <c r="E31" s="126"/>
      <c r="F31" s="126" t="s">
        <v>523</v>
      </c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26">
        <f t="shared" si="0"/>
        <v>6</v>
      </c>
      <c r="AY31" s="26">
        <f t="shared" si="1"/>
        <v>2026</v>
      </c>
    </row>
    <row r="32" spans="1:51" ht="15.75" customHeight="1" x14ac:dyDescent="0.25">
      <c r="A32" s="28">
        <v>46184</v>
      </c>
      <c r="B32" s="37" t="s">
        <v>555</v>
      </c>
      <c r="C32" s="37"/>
      <c r="D32" s="37"/>
      <c r="E32" s="37"/>
      <c r="F32" s="37" t="s">
        <v>517</v>
      </c>
      <c r="G32" s="37"/>
      <c r="H32" s="37"/>
      <c r="I32" s="37" t="s">
        <v>506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 t="s">
        <v>509</v>
      </c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124" t="s">
        <v>518</v>
      </c>
      <c r="AV32" s="37"/>
      <c r="AW32" s="37"/>
      <c r="AX32" s="14">
        <f t="shared" si="0"/>
        <v>6</v>
      </c>
      <c r="AY32" s="14">
        <f t="shared" si="1"/>
        <v>2026</v>
      </c>
    </row>
    <row r="33" spans="1:52" ht="15.75" customHeight="1" x14ac:dyDescent="0.25">
      <c r="A33" s="11">
        <v>46184</v>
      </c>
      <c r="B33" s="15"/>
      <c r="C33" s="15"/>
      <c r="D33" s="15"/>
      <c r="E33" s="15"/>
      <c r="F33" s="15" t="s">
        <v>553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4">
        <f t="shared" si="0"/>
        <v>6</v>
      </c>
      <c r="AY33" s="14">
        <f t="shared" si="1"/>
        <v>2026</v>
      </c>
    </row>
    <row r="34" spans="1:52" ht="15.75" customHeight="1" x14ac:dyDescent="0.25">
      <c r="A34" s="11">
        <v>46184</v>
      </c>
      <c r="B34" s="12"/>
      <c r="C34" s="12"/>
      <c r="D34" s="12"/>
      <c r="E34" s="12"/>
      <c r="F34" s="12" t="s">
        <v>465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4">
        <f t="shared" si="0"/>
        <v>6</v>
      </c>
      <c r="AY34" s="14">
        <f t="shared" si="1"/>
        <v>2026</v>
      </c>
    </row>
    <row r="35" spans="1:52" ht="15.75" customHeight="1" thickBot="1" x14ac:dyDescent="0.3">
      <c r="A35" s="16">
        <v>46184</v>
      </c>
      <c r="B35" s="42"/>
      <c r="C35" s="42"/>
      <c r="D35" s="42"/>
      <c r="E35" s="42"/>
      <c r="F35" s="42" t="s">
        <v>556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14">
        <f t="shared" si="0"/>
        <v>6</v>
      </c>
      <c r="AY35" s="14">
        <f t="shared" si="1"/>
        <v>2026</v>
      </c>
    </row>
    <row r="36" spans="1:52" s="132" customFormat="1" ht="15.75" customHeight="1" thickTop="1" x14ac:dyDescent="0.25">
      <c r="A36" s="129">
        <v>46185</v>
      </c>
      <c r="B36" s="130"/>
      <c r="C36" s="130"/>
      <c r="D36" s="130"/>
      <c r="E36" s="130" t="s">
        <v>576</v>
      </c>
      <c r="F36" s="130" t="s">
        <v>579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 t="s">
        <v>580</v>
      </c>
      <c r="Y36" s="130"/>
      <c r="Z36" s="130"/>
      <c r="AA36" s="130"/>
      <c r="AB36" s="130"/>
      <c r="AC36" s="130" t="s">
        <v>574</v>
      </c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 t="s">
        <v>573</v>
      </c>
      <c r="AR36" s="130"/>
      <c r="AS36" s="130"/>
      <c r="AT36" s="130"/>
      <c r="AU36" s="130"/>
      <c r="AV36" s="130"/>
      <c r="AW36" s="130"/>
      <c r="AX36" s="131">
        <f t="shared" si="0"/>
        <v>6</v>
      </c>
      <c r="AY36" s="131">
        <f t="shared" si="1"/>
        <v>2026</v>
      </c>
    </row>
    <row r="37" spans="1:52" ht="15.75" customHeight="1" x14ac:dyDescent="0.25">
      <c r="A37" s="11">
        <v>46185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 t="s">
        <v>581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4">
        <f t="shared" si="0"/>
        <v>6</v>
      </c>
      <c r="AY37" s="14">
        <f t="shared" si="1"/>
        <v>2026</v>
      </c>
    </row>
    <row r="38" spans="1:52" s="103" customFormat="1" ht="15.75" customHeight="1" thickBot="1" x14ac:dyDescent="0.3">
      <c r="A38" s="101">
        <v>46185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 t="s">
        <v>582</v>
      </c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26">
        <f t="shared" ref="AX38:AX69" si="2">IF(A38="","",IF(ISNUMBER(A38),MONTH(A38),IFERROR(VALUE(MID(A38,FIND(".",A38)+1,FIND(".",A38,FIND(".",A38)+1)-FIND(".",A38)-1)),"")))</f>
        <v>6</v>
      </c>
      <c r="AY38" s="26">
        <f t="shared" ref="AY38:AY69" si="3">IF(A38="","",IF(ISNUMBER(A38),YEAR(A38),IFERROR(VALUE(RIGHT(A38,4)),"")))</f>
        <v>2026</v>
      </c>
    </row>
    <row r="39" spans="1:52" ht="15.75" customHeight="1" x14ac:dyDescent="0.25">
      <c r="A39" s="28">
        <v>46188</v>
      </c>
      <c r="B39" s="29" t="s">
        <v>604</v>
      </c>
      <c r="C39" s="29"/>
      <c r="D39" s="29"/>
      <c r="E39" s="29"/>
      <c r="F39" s="15" t="s">
        <v>602</v>
      </c>
      <c r="G39" s="29"/>
      <c r="H39" s="29" t="s">
        <v>611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 t="s">
        <v>606</v>
      </c>
      <c r="X39" s="29" t="s">
        <v>610</v>
      </c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 t="s">
        <v>602</v>
      </c>
      <c r="AR39" s="29"/>
      <c r="AS39" s="29"/>
      <c r="AT39" s="29"/>
      <c r="AU39" s="121" t="s">
        <v>608</v>
      </c>
      <c r="AV39" s="29"/>
      <c r="AW39" s="29"/>
      <c r="AX39" s="14">
        <f t="shared" si="2"/>
        <v>6</v>
      </c>
      <c r="AY39" s="14">
        <f t="shared" si="3"/>
        <v>2026</v>
      </c>
      <c r="AZ39" t="s">
        <v>607</v>
      </c>
    </row>
    <row r="40" spans="1:52" ht="15.75" customHeight="1" thickBot="1" x14ac:dyDescent="0.3">
      <c r="A40" s="16">
        <v>46188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 t="s">
        <v>609</v>
      </c>
      <c r="AR40" s="17"/>
      <c r="AS40" s="17"/>
      <c r="AT40" s="17"/>
      <c r="AU40" s="17"/>
      <c r="AV40" s="17"/>
      <c r="AW40" s="17"/>
      <c r="AX40" s="14">
        <f t="shared" si="2"/>
        <v>6</v>
      </c>
      <c r="AY40" s="14">
        <f t="shared" si="3"/>
        <v>2026</v>
      </c>
    </row>
    <row r="41" spans="1:52" s="105" customFormat="1" ht="15.75" customHeight="1" x14ac:dyDescent="0.25">
      <c r="A41" s="18">
        <v>46189</v>
      </c>
      <c r="B41" s="20"/>
      <c r="C41" s="20"/>
      <c r="D41" s="20"/>
      <c r="E41" s="20"/>
      <c r="F41" s="20" t="s">
        <v>637</v>
      </c>
      <c r="G41" s="20"/>
      <c r="H41" s="20" t="s">
        <v>584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 t="s">
        <v>641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 t="s">
        <v>640</v>
      </c>
      <c r="AR41" s="20"/>
      <c r="AS41" s="20"/>
      <c r="AT41" s="20"/>
      <c r="AU41" s="119" t="s">
        <v>639</v>
      </c>
      <c r="AV41" s="119" t="s">
        <v>634</v>
      </c>
      <c r="AW41" s="20"/>
      <c r="AX41" s="104">
        <f t="shared" si="2"/>
        <v>6</v>
      </c>
      <c r="AY41" s="104">
        <f t="shared" si="3"/>
        <v>2026</v>
      </c>
    </row>
    <row r="42" spans="1:52" ht="15.75" customHeight="1" x14ac:dyDescent="0.25">
      <c r="A42" s="11">
        <v>46189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 t="s">
        <v>642</v>
      </c>
      <c r="AR42" s="12"/>
      <c r="AS42" s="12"/>
      <c r="AT42" s="12"/>
      <c r="AU42" s="12"/>
      <c r="AV42" s="116" t="s">
        <v>636</v>
      </c>
      <c r="AW42" s="12"/>
      <c r="AX42" s="14">
        <f t="shared" si="2"/>
        <v>6</v>
      </c>
      <c r="AY42" s="14">
        <f t="shared" si="3"/>
        <v>2026</v>
      </c>
    </row>
    <row r="43" spans="1:52" ht="15.75" customHeight="1" x14ac:dyDescent="0.25">
      <c r="A43" s="11">
        <v>46189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17" t="s">
        <v>638</v>
      </c>
      <c r="AW43" s="15"/>
      <c r="AX43" s="14">
        <f t="shared" si="2"/>
        <v>6</v>
      </c>
      <c r="AY43" s="14">
        <f t="shared" si="3"/>
        <v>2026</v>
      </c>
    </row>
    <row r="44" spans="1:52" ht="15.75" customHeight="1" x14ac:dyDescent="0.25">
      <c r="A44" s="11">
        <v>46189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16" t="s">
        <v>643</v>
      </c>
      <c r="AW44" s="12"/>
      <c r="AX44" s="14">
        <f t="shared" si="2"/>
        <v>6</v>
      </c>
      <c r="AY44" s="14">
        <f t="shared" si="3"/>
        <v>2026</v>
      </c>
    </row>
    <row r="45" spans="1:52" ht="15.75" customHeight="1" thickBot="1" x14ac:dyDescent="0.3">
      <c r="A45" s="16">
        <v>46189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152" t="s">
        <v>634</v>
      </c>
      <c r="AW45" s="42"/>
      <c r="AX45" s="14">
        <f t="shared" si="2"/>
        <v>6</v>
      </c>
      <c r="AY45" s="14">
        <f t="shared" si="3"/>
        <v>2026</v>
      </c>
    </row>
    <row r="46" spans="1:52" s="105" customFormat="1" ht="15.75" customHeight="1" x14ac:dyDescent="0.25">
      <c r="A46" s="18">
        <v>46190</v>
      </c>
      <c r="B46" s="19"/>
      <c r="C46" s="19" t="s">
        <v>682</v>
      </c>
      <c r="D46" s="19"/>
      <c r="E46" s="19"/>
      <c r="F46" s="19" t="s">
        <v>672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 t="s">
        <v>671</v>
      </c>
      <c r="AR46" s="19"/>
      <c r="AS46" s="19"/>
      <c r="AT46" s="19"/>
      <c r="AU46" s="19"/>
      <c r="AV46" s="19"/>
      <c r="AW46" s="19"/>
      <c r="AX46" s="104">
        <f t="shared" si="2"/>
        <v>6</v>
      </c>
      <c r="AY46" s="104">
        <f t="shared" si="3"/>
        <v>2026</v>
      </c>
    </row>
    <row r="47" spans="1:52" ht="15.75" customHeight="1" x14ac:dyDescent="0.25">
      <c r="A47" s="11">
        <v>46190</v>
      </c>
      <c r="B47" s="15"/>
      <c r="C47" s="15"/>
      <c r="D47" s="15"/>
      <c r="E47" s="15"/>
      <c r="F47" s="15" t="s">
        <v>673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 t="s">
        <v>677</v>
      </c>
      <c r="AR47" s="15"/>
      <c r="AS47" s="15"/>
      <c r="AT47" s="15"/>
      <c r="AU47" s="15"/>
      <c r="AV47" s="15"/>
      <c r="AW47" s="15"/>
      <c r="AX47" s="14">
        <f t="shared" si="2"/>
        <v>6</v>
      </c>
      <c r="AY47" s="14">
        <f t="shared" si="3"/>
        <v>2026</v>
      </c>
    </row>
    <row r="48" spans="1:52" ht="15.75" customHeight="1" x14ac:dyDescent="0.25">
      <c r="A48" s="11">
        <v>46190</v>
      </c>
      <c r="B48" s="12"/>
      <c r="C48" s="12"/>
      <c r="D48" s="12"/>
      <c r="E48" s="12"/>
      <c r="F48" s="12" t="s">
        <v>674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4">
        <f>IF(A49="","",IF(ISNUMBER(A49),MONTH(A49),IFERROR(VALUE(MID(A49,FIND(".",A49)+1,FIND(".",A49,FIND(".",A49)+1)-FIND(".",A49)-1)),"")))</f>
        <v>6</v>
      </c>
      <c r="AY48" s="14">
        <f>IF(A49="","",IF(ISNUMBER(A49),YEAR(A49),IFERROR(VALUE(RIGHT(A49,4)),"")))</f>
        <v>2026</v>
      </c>
    </row>
    <row r="49" spans="1:51" s="103" customFormat="1" ht="15.75" customHeight="1" thickBot="1" x14ac:dyDescent="0.3">
      <c r="A49" s="101">
        <v>46190</v>
      </c>
      <c r="B49" s="126"/>
      <c r="C49" s="126"/>
      <c r="D49" s="126"/>
      <c r="E49" s="126"/>
      <c r="F49" s="126" t="s">
        <v>516</v>
      </c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R49" s="126"/>
      <c r="AS49" s="126"/>
      <c r="AT49" s="126"/>
      <c r="AU49" s="126"/>
      <c r="AV49" s="126"/>
      <c r="AW49" s="126"/>
      <c r="AX49" s="26" t="e">
        <f>IF(#REF!="","",IF(ISNUMBER(#REF!),MONTH(#REF!),IFERROR(VALUE(MID(#REF!,FIND(".",#REF!)+1,FIND(".",#REF!,FIND(".",#REF!)+1)-FIND(".",#REF!)-1)),"")))</f>
        <v>#REF!</v>
      </c>
      <c r="AY49" s="26" t="e">
        <f>IF(#REF!="","",IF(ISNUMBER(#REF!),YEAR(#REF!),IFERROR(VALUE(RIGHT(#REF!,4)),"")))</f>
        <v>#REF!</v>
      </c>
    </row>
    <row r="50" spans="1:51" ht="15.75" customHeight="1" x14ac:dyDescent="0.25">
      <c r="A50" s="28">
        <v>46191</v>
      </c>
      <c r="B50" s="37"/>
      <c r="C50" s="37"/>
      <c r="D50" s="37"/>
      <c r="E50" s="37" t="s">
        <v>678</v>
      </c>
      <c r="F50" s="37" t="s">
        <v>707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20" t="s">
        <v>711</v>
      </c>
      <c r="AR50" s="37"/>
      <c r="AS50" s="37"/>
      <c r="AT50" s="37" t="s">
        <v>712</v>
      </c>
      <c r="AU50" s="37"/>
      <c r="AV50" s="124" t="s">
        <v>708</v>
      </c>
      <c r="AW50" s="37"/>
      <c r="AX50" s="14">
        <f t="shared" si="2"/>
        <v>6</v>
      </c>
      <c r="AY50" s="14">
        <f t="shared" si="3"/>
        <v>2026</v>
      </c>
    </row>
    <row r="51" spans="1:51" s="103" customFormat="1" ht="15.75" customHeight="1" thickBot="1" x14ac:dyDescent="0.3">
      <c r="A51" s="101">
        <v>46191</v>
      </c>
      <c r="B51" s="126"/>
      <c r="C51" s="126"/>
      <c r="D51" s="126"/>
      <c r="E51" s="126"/>
      <c r="F51" s="126" t="s">
        <v>675</v>
      </c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39"/>
      <c r="AR51" s="126"/>
      <c r="AS51" s="126"/>
      <c r="AT51" s="126"/>
      <c r="AU51" s="126"/>
      <c r="AV51" s="150" t="s">
        <v>710</v>
      </c>
      <c r="AW51" s="126"/>
      <c r="AX51" s="26">
        <f t="shared" si="2"/>
        <v>6</v>
      </c>
      <c r="AY51" s="26">
        <f t="shared" si="3"/>
        <v>2026</v>
      </c>
    </row>
    <row r="52" spans="1:51" ht="15.75" customHeight="1" x14ac:dyDescent="0.25">
      <c r="A52" s="28">
        <v>46192</v>
      </c>
      <c r="B52" s="37"/>
      <c r="C52" s="37" t="s">
        <v>729</v>
      </c>
      <c r="D52" s="37"/>
      <c r="E52" s="37"/>
      <c r="F52" s="37" t="s">
        <v>728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 t="s">
        <v>730</v>
      </c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 t="s">
        <v>731</v>
      </c>
      <c r="AR52" s="37"/>
      <c r="AS52" s="37"/>
      <c r="AT52" s="37"/>
      <c r="AU52" s="37"/>
      <c r="AV52" s="124" t="s">
        <v>724</v>
      </c>
      <c r="AW52" s="37"/>
      <c r="AX52" s="14">
        <f t="shared" si="2"/>
        <v>6</v>
      </c>
      <c r="AY52" s="14">
        <f t="shared" si="3"/>
        <v>2026</v>
      </c>
    </row>
    <row r="53" spans="1:51" s="103" customFormat="1" ht="15.75" customHeight="1" thickBot="1" x14ac:dyDescent="0.3">
      <c r="A53" s="101">
        <v>46192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 t="s">
        <v>216</v>
      </c>
      <c r="AR53" s="126"/>
      <c r="AS53" s="126"/>
      <c r="AT53" s="126"/>
      <c r="AU53" s="126"/>
      <c r="AV53" s="126"/>
      <c r="AW53" s="126"/>
      <c r="AX53" s="26">
        <f t="shared" si="2"/>
        <v>6</v>
      </c>
      <c r="AY53" s="26">
        <f t="shared" si="3"/>
        <v>2026</v>
      </c>
    </row>
    <row r="54" spans="1:51" ht="15.75" customHeight="1" x14ac:dyDescent="0.25">
      <c r="A54" s="28">
        <v>46195</v>
      </c>
      <c r="B54" s="37"/>
      <c r="C54" s="37"/>
      <c r="D54" s="37"/>
      <c r="E54" s="37"/>
      <c r="F54" s="37" t="s">
        <v>767</v>
      </c>
      <c r="G54" s="37"/>
      <c r="H54" s="37"/>
      <c r="I54" s="37" t="s">
        <v>757</v>
      </c>
      <c r="J54" s="37"/>
      <c r="K54" s="37"/>
      <c r="L54" s="37"/>
      <c r="M54" s="37"/>
      <c r="N54" s="37"/>
      <c r="O54" s="37"/>
      <c r="P54" s="37"/>
      <c r="Q54" s="37" t="s">
        <v>756</v>
      </c>
      <c r="R54" s="37"/>
      <c r="S54" s="37"/>
      <c r="T54" s="37"/>
      <c r="U54" s="37"/>
      <c r="V54" s="37"/>
      <c r="W54" s="37" t="s">
        <v>753</v>
      </c>
      <c r="X54" s="37"/>
      <c r="Y54" s="37"/>
      <c r="Z54" s="37"/>
      <c r="AA54" s="37"/>
      <c r="AB54" s="37"/>
      <c r="AC54" s="37"/>
      <c r="AD54" s="37"/>
      <c r="AE54" s="37" t="s">
        <v>764</v>
      </c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 t="s">
        <v>761</v>
      </c>
      <c r="AQ54" s="37" t="s">
        <v>755</v>
      </c>
      <c r="AR54" s="37"/>
      <c r="AS54" s="37"/>
      <c r="AT54" s="37"/>
      <c r="AU54" s="37"/>
      <c r="AV54" s="124" t="s">
        <v>760</v>
      </c>
      <c r="AW54" s="37"/>
      <c r="AX54" s="14">
        <f t="shared" si="2"/>
        <v>6</v>
      </c>
      <c r="AY54" s="14">
        <f t="shared" si="3"/>
        <v>2026</v>
      </c>
    </row>
    <row r="55" spans="1:51" ht="15.75" customHeight="1" x14ac:dyDescent="0.25">
      <c r="A55" s="11">
        <v>46195</v>
      </c>
      <c r="B55" s="15"/>
      <c r="C55" s="15"/>
      <c r="D55" s="15"/>
      <c r="E55" s="15"/>
      <c r="F55" s="15"/>
      <c r="G55" s="15"/>
      <c r="H55" s="15"/>
      <c r="I55" s="15" t="s">
        <v>758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17" t="s">
        <v>766</v>
      </c>
      <c r="AW55" s="15"/>
      <c r="AX55" s="14">
        <f t="shared" si="2"/>
        <v>6</v>
      </c>
      <c r="AY55" s="14">
        <f t="shared" si="3"/>
        <v>2026</v>
      </c>
    </row>
    <row r="56" spans="1:51" ht="15.75" customHeight="1" x14ac:dyDescent="0.25">
      <c r="A56" s="11">
        <v>46195</v>
      </c>
      <c r="B56" s="12"/>
      <c r="C56" s="12"/>
      <c r="D56" s="12"/>
      <c r="E56" s="12"/>
      <c r="F56" s="12"/>
      <c r="G56" s="12"/>
      <c r="H56" s="12"/>
      <c r="I56" s="12" t="s">
        <v>759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4">
        <f t="shared" si="2"/>
        <v>6</v>
      </c>
      <c r="AY56" s="14">
        <f t="shared" si="3"/>
        <v>2026</v>
      </c>
    </row>
    <row r="57" spans="1:51" ht="15.75" customHeight="1" x14ac:dyDescent="0.25">
      <c r="A57" s="11">
        <v>46195</v>
      </c>
      <c r="B57" s="15"/>
      <c r="C57" s="15"/>
      <c r="D57" s="15"/>
      <c r="E57" s="15"/>
      <c r="F57" s="15"/>
      <c r="G57" s="15"/>
      <c r="H57" s="15"/>
      <c r="I57" s="15" t="s">
        <v>765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4">
        <f t="shared" si="2"/>
        <v>6</v>
      </c>
      <c r="AY57" s="14">
        <f t="shared" si="3"/>
        <v>2026</v>
      </c>
    </row>
    <row r="58" spans="1:51" ht="15.75" customHeight="1" thickBot="1" x14ac:dyDescent="0.3">
      <c r="A58" s="16">
        <v>46195</v>
      </c>
      <c r="B58" s="17"/>
      <c r="C58" s="17"/>
      <c r="D58" s="17"/>
      <c r="E58" s="17"/>
      <c r="F58" s="17"/>
      <c r="G58" s="17"/>
      <c r="H58" s="17"/>
      <c r="I58" s="17" t="s">
        <v>768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4">
        <f t="shared" si="2"/>
        <v>6</v>
      </c>
      <c r="AY58" s="14">
        <f t="shared" si="3"/>
        <v>2026</v>
      </c>
    </row>
    <row r="59" spans="1:51" s="105" customFormat="1" ht="15.75" customHeight="1" x14ac:dyDescent="0.25">
      <c r="A59" s="18">
        <v>46196</v>
      </c>
      <c r="B59" s="20"/>
      <c r="C59" s="20" t="s">
        <v>790</v>
      </c>
      <c r="D59" s="20"/>
      <c r="E59" s="20"/>
      <c r="F59" s="20"/>
      <c r="G59" s="20"/>
      <c r="H59" s="20"/>
      <c r="I59" s="20" t="s">
        <v>788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12" t="s">
        <v>803</v>
      </c>
      <c r="U59" s="20"/>
      <c r="V59" s="20"/>
      <c r="W59" s="20" t="s">
        <v>784</v>
      </c>
      <c r="X59" s="20"/>
      <c r="Y59" s="20"/>
      <c r="Z59" s="20"/>
      <c r="AA59" s="20"/>
      <c r="AB59" s="20"/>
      <c r="AC59" s="20" t="s">
        <v>798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 t="s">
        <v>782</v>
      </c>
      <c r="AQ59" s="20"/>
      <c r="AR59" s="20"/>
      <c r="AS59" s="20"/>
      <c r="AT59" s="20"/>
      <c r="AU59" s="119" t="s">
        <v>787</v>
      </c>
      <c r="AV59" s="119" t="s">
        <v>793</v>
      </c>
      <c r="AW59" s="20"/>
      <c r="AX59" s="104">
        <f t="shared" si="2"/>
        <v>6</v>
      </c>
      <c r="AY59" s="104">
        <f t="shared" si="3"/>
        <v>2026</v>
      </c>
    </row>
    <row r="60" spans="1:51" ht="15.75" customHeight="1" x14ac:dyDescent="0.25">
      <c r="A60" s="11">
        <v>46196</v>
      </c>
      <c r="B60" s="12"/>
      <c r="C60" s="12" t="s">
        <v>799</v>
      </c>
      <c r="D60" s="12"/>
      <c r="E60" s="12"/>
      <c r="F60" s="12"/>
      <c r="G60" s="12"/>
      <c r="H60" s="12"/>
      <c r="I60" s="12" t="s">
        <v>796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16" t="s">
        <v>806</v>
      </c>
      <c r="AV60" s="116" t="s">
        <v>794</v>
      </c>
      <c r="AW60" s="12"/>
      <c r="AX60" s="14">
        <f t="shared" si="2"/>
        <v>6</v>
      </c>
      <c r="AY60" s="14">
        <f t="shared" si="3"/>
        <v>2026</v>
      </c>
    </row>
    <row r="61" spans="1:51" ht="15.75" customHeight="1" x14ac:dyDescent="0.25">
      <c r="A61" s="11">
        <v>46196</v>
      </c>
      <c r="B61" s="15"/>
      <c r="C61" s="15"/>
      <c r="D61" s="15"/>
      <c r="E61" s="15"/>
      <c r="F61" s="15"/>
      <c r="G61" s="15"/>
      <c r="H61" s="15"/>
      <c r="I61" s="15" t="s">
        <v>763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17" t="s">
        <v>797</v>
      </c>
      <c r="AW61" s="15"/>
      <c r="AX61" s="14">
        <f t="shared" si="2"/>
        <v>6</v>
      </c>
      <c r="AY61" s="14">
        <f t="shared" si="3"/>
        <v>2026</v>
      </c>
    </row>
    <row r="62" spans="1:51" ht="15.75" customHeight="1" x14ac:dyDescent="0.25">
      <c r="A62" s="11">
        <v>46196</v>
      </c>
      <c r="B62" s="12"/>
      <c r="C62" s="12"/>
      <c r="D62" s="12"/>
      <c r="E62" s="12"/>
      <c r="F62" s="12"/>
      <c r="G62" s="12"/>
      <c r="H62" s="12"/>
      <c r="I62" s="12" t="s">
        <v>800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16" t="s">
        <v>805</v>
      </c>
      <c r="AW62" s="12"/>
      <c r="AX62" s="14">
        <f t="shared" si="2"/>
        <v>6</v>
      </c>
      <c r="AY62" s="14">
        <f t="shared" si="3"/>
        <v>2026</v>
      </c>
    </row>
    <row r="63" spans="1:51" ht="15.75" customHeight="1" thickBot="1" x14ac:dyDescent="0.3">
      <c r="A63" s="16">
        <v>46196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152" t="s">
        <v>807</v>
      </c>
      <c r="AW63" s="42"/>
      <c r="AX63" s="14">
        <f t="shared" si="2"/>
        <v>6</v>
      </c>
      <c r="AY63" s="14">
        <f t="shared" si="3"/>
        <v>2026</v>
      </c>
    </row>
    <row r="64" spans="1:51" s="105" customFormat="1" ht="15.75" customHeight="1" x14ac:dyDescent="0.25">
      <c r="A64" s="18">
        <v>46197</v>
      </c>
      <c r="B64" s="19"/>
      <c r="C64" s="19"/>
      <c r="D64" s="19"/>
      <c r="E64" s="19"/>
      <c r="F64" s="19" t="s">
        <v>825</v>
      </c>
      <c r="G64" s="19"/>
      <c r="H64" s="19" t="s">
        <v>830</v>
      </c>
      <c r="I64" s="19" t="s">
        <v>821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 t="s">
        <v>828</v>
      </c>
      <c r="X64" s="19" t="s">
        <v>792</v>
      </c>
      <c r="Y64" s="19"/>
      <c r="Z64" s="19"/>
      <c r="AA64" s="19"/>
      <c r="AB64" s="19"/>
      <c r="AC64" s="19" t="s">
        <v>838</v>
      </c>
      <c r="AD64" s="19"/>
      <c r="AE64" s="19"/>
      <c r="AF64" s="19" t="s">
        <v>783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 t="s">
        <v>846</v>
      </c>
      <c r="AR64" s="19"/>
      <c r="AS64" s="19"/>
      <c r="AT64" s="19"/>
      <c r="AU64" s="153" t="s">
        <v>844</v>
      </c>
      <c r="AV64" s="153" t="s">
        <v>802</v>
      </c>
      <c r="AW64" s="19"/>
      <c r="AX64" s="104">
        <f t="shared" si="2"/>
        <v>6</v>
      </c>
      <c r="AY64" s="104">
        <f t="shared" si="3"/>
        <v>2026</v>
      </c>
    </row>
    <row r="65" spans="1:51" ht="15.75" customHeight="1" x14ac:dyDescent="0.25">
      <c r="A65" s="11">
        <v>46197</v>
      </c>
      <c r="B65" s="15"/>
      <c r="C65" s="15"/>
      <c r="D65" s="15"/>
      <c r="E65" s="15"/>
      <c r="F65" s="15" t="s">
        <v>786</v>
      </c>
      <c r="G65" s="15"/>
      <c r="H65" s="15"/>
      <c r="I65" s="15" t="s">
        <v>831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 t="s">
        <v>832</v>
      </c>
      <c r="X65" s="15" t="s">
        <v>843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17" t="s">
        <v>836</v>
      </c>
      <c r="AW65" s="15"/>
      <c r="AX65" s="14">
        <f t="shared" si="2"/>
        <v>6</v>
      </c>
      <c r="AY65" s="14">
        <f t="shared" si="3"/>
        <v>2026</v>
      </c>
    </row>
    <row r="66" spans="1:51" ht="15.75" customHeight="1" x14ac:dyDescent="0.25">
      <c r="A66" s="11">
        <v>46197</v>
      </c>
      <c r="B66" s="12"/>
      <c r="C66" s="12"/>
      <c r="D66" s="12"/>
      <c r="E66" s="12"/>
      <c r="F66" s="12" t="s">
        <v>829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16" t="s">
        <v>837</v>
      </c>
      <c r="AW66" s="12"/>
      <c r="AX66" s="14">
        <f t="shared" si="2"/>
        <v>6</v>
      </c>
      <c r="AY66" s="14">
        <f t="shared" si="3"/>
        <v>2026</v>
      </c>
    </row>
    <row r="67" spans="1:51" ht="15.75" customHeight="1" x14ac:dyDescent="0.25">
      <c r="A67" s="11">
        <v>46197</v>
      </c>
      <c r="B67" s="15"/>
      <c r="C67" s="15"/>
      <c r="D67" s="15"/>
      <c r="E67" s="15"/>
      <c r="F67" s="15" t="s">
        <v>780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17" t="s">
        <v>804</v>
      </c>
      <c r="AW67" s="15"/>
      <c r="AX67" s="14">
        <f t="shared" si="2"/>
        <v>6</v>
      </c>
      <c r="AY67" s="14">
        <f t="shared" si="3"/>
        <v>2026</v>
      </c>
    </row>
    <row r="68" spans="1:51" ht="15.75" customHeight="1" x14ac:dyDescent="0.25">
      <c r="A68" s="11">
        <v>46197</v>
      </c>
      <c r="B68" s="12"/>
      <c r="C68" s="12"/>
      <c r="D68" s="12"/>
      <c r="E68" s="12"/>
      <c r="F68" s="12" t="s">
        <v>833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16" t="s">
        <v>842</v>
      </c>
      <c r="AW68" s="12"/>
      <c r="AX68" s="14">
        <f t="shared" si="2"/>
        <v>6</v>
      </c>
      <c r="AY68" s="14">
        <f t="shared" si="3"/>
        <v>2026</v>
      </c>
    </row>
    <row r="69" spans="1:51" ht="15.75" customHeight="1" x14ac:dyDescent="0.25">
      <c r="A69" s="11">
        <v>46197</v>
      </c>
      <c r="B69" s="15"/>
      <c r="C69" s="15"/>
      <c r="D69" s="15"/>
      <c r="E69" s="15"/>
      <c r="F69" s="15" t="s">
        <v>834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17" t="s">
        <v>845</v>
      </c>
      <c r="AW69" s="15"/>
      <c r="AX69" s="14">
        <f t="shared" si="2"/>
        <v>6</v>
      </c>
      <c r="AY69" s="14">
        <f t="shared" si="3"/>
        <v>2026</v>
      </c>
    </row>
    <row r="70" spans="1:51" ht="15.75" customHeight="1" x14ac:dyDescent="0.25">
      <c r="A70" s="11">
        <v>46197</v>
      </c>
      <c r="B70" s="12"/>
      <c r="C70" s="12"/>
      <c r="D70" s="12"/>
      <c r="E70" s="12"/>
      <c r="F70" s="12" t="s">
        <v>835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16" t="s">
        <v>847</v>
      </c>
      <c r="AW70" s="12"/>
      <c r="AX70" s="14">
        <f t="shared" ref="AX70:AX101" si="4">IF(A70="","",IF(ISNUMBER(A70),MONTH(A70),IFERROR(VALUE(MID(A70,FIND(".",A70)+1,FIND(".",A70,FIND(".",A70)+1)-FIND(".",A70)-1)),"")))</f>
        <v>6</v>
      </c>
      <c r="AY70" s="14">
        <f t="shared" ref="AY70:AY101" si="5">IF(A70="","",IF(ISNUMBER(A70),YEAR(A70),IFERROR(VALUE(RIGHT(A70,4)),"")))</f>
        <v>2026</v>
      </c>
    </row>
    <row r="71" spans="1:51" ht="15.75" customHeight="1" x14ac:dyDescent="0.25">
      <c r="A71" s="11">
        <v>46197</v>
      </c>
      <c r="B71" s="15"/>
      <c r="C71" s="15"/>
      <c r="D71" s="15"/>
      <c r="E71" s="15"/>
      <c r="F71" s="15" t="s">
        <v>851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17" t="s">
        <v>848</v>
      </c>
      <c r="AW71" s="15"/>
      <c r="AX71" s="14">
        <f t="shared" si="4"/>
        <v>6</v>
      </c>
      <c r="AY71" s="14">
        <f t="shared" si="5"/>
        <v>2026</v>
      </c>
    </row>
    <row r="72" spans="1:51" s="103" customFormat="1" ht="15.75" customHeight="1" thickBot="1" x14ac:dyDescent="0.3">
      <c r="A72" s="101">
        <v>46197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25" t="s">
        <v>849</v>
      </c>
      <c r="AW72" s="102"/>
      <c r="AX72" s="26">
        <f t="shared" si="4"/>
        <v>6</v>
      </c>
      <c r="AY72" s="26">
        <f t="shared" si="5"/>
        <v>2026</v>
      </c>
    </row>
    <row r="73" spans="1:51" ht="15.75" customHeight="1" x14ac:dyDescent="0.25">
      <c r="A73" s="28">
        <v>46198</v>
      </c>
      <c r="B73" s="29"/>
      <c r="C73" s="29"/>
      <c r="D73" s="29"/>
      <c r="E73" s="29"/>
      <c r="F73" s="29" t="s">
        <v>841</v>
      </c>
      <c r="G73" s="29"/>
      <c r="H73" s="29"/>
      <c r="I73" s="29" t="s">
        <v>876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 t="s">
        <v>870</v>
      </c>
      <c r="AR73" s="29"/>
      <c r="AS73" s="29"/>
      <c r="AT73" s="29"/>
      <c r="AU73" s="121" t="s">
        <v>850</v>
      </c>
      <c r="AV73" s="121" t="s">
        <v>867</v>
      </c>
      <c r="AW73" s="29"/>
      <c r="AX73" s="14">
        <f t="shared" si="4"/>
        <v>6</v>
      </c>
      <c r="AY73" s="14">
        <f t="shared" si="5"/>
        <v>2026</v>
      </c>
    </row>
    <row r="74" spans="1:51" ht="15.75" customHeight="1" x14ac:dyDescent="0.25">
      <c r="A74" s="11">
        <v>46198</v>
      </c>
      <c r="B74" s="12"/>
      <c r="C74" s="12"/>
      <c r="D74" s="12"/>
      <c r="E74" s="12"/>
      <c r="F74" s="12" t="s">
        <v>752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 t="s">
        <v>875</v>
      </c>
      <c r="AR74" s="12"/>
      <c r="AS74" s="12"/>
      <c r="AT74" s="12"/>
      <c r="AU74" s="116" t="s">
        <v>801</v>
      </c>
      <c r="AV74" s="116" t="s">
        <v>869</v>
      </c>
      <c r="AW74" s="12"/>
      <c r="AX74" s="14">
        <f t="shared" si="4"/>
        <v>6</v>
      </c>
      <c r="AY74" s="14">
        <f t="shared" si="5"/>
        <v>2026</v>
      </c>
    </row>
    <row r="75" spans="1:51" ht="15.75" customHeight="1" x14ac:dyDescent="0.25">
      <c r="A75" s="11">
        <v>46198</v>
      </c>
      <c r="B75" s="15"/>
      <c r="C75" s="15"/>
      <c r="D75" s="15"/>
      <c r="E75" s="15"/>
      <c r="F75" s="15" t="s">
        <v>873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 t="s">
        <v>272</v>
      </c>
      <c r="AV75" s="117" t="s">
        <v>872</v>
      </c>
      <c r="AW75" s="15"/>
      <c r="AX75" s="14">
        <f t="shared" si="4"/>
        <v>6</v>
      </c>
      <c r="AY75" s="14">
        <f t="shared" si="5"/>
        <v>2026</v>
      </c>
    </row>
    <row r="76" spans="1:51" s="103" customFormat="1" ht="15.75" customHeight="1" thickBot="1" x14ac:dyDescent="0.3">
      <c r="A76" s="101">
        <v>46198</v>
      </c>
      <c r="B76" s="102"/>
      <c r="C76" s="102"/>
      <c r="D76" s="102"/>
      <c r="E76" s="102"/>
      <c r="F76" s="102" t="s">
        <v>874</v>
      </c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26">
        <f t="shared" si="4"/>
        <v>6</v>
      </c>
      <c r="AY76" s="26">
        <f t="shared" si="5"/>
        <v>2026</v>
      </c>
    </row>
    <row r="77" spans="1:51" ht="15.75" customHeight="1" x14ac:dyDescent="0.25">
      <c r="A77" s="28">
        <v>46199</v>
      </c>
      <c r="B77" s="29"/>
      <c r="C77" s="29" t="s">
        <v>905</v>
      </c>
      <c r="D77" s="29"/>
      <c r="E77" s="29"/>
      <c r="F77" s="29" t="s">
        <v>871</v>
      </c>
      <c r="G77" s="29" t="s">
        <v>899</v>
      </c>
      <c r="H77" s="29"/>
      <c r="I77" s="29" t="s">
        <v>906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 t="s">
        <v>895</v>
      </c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 t="s">
        <v>904</v>
      </c>
      <c r="AR77" s="29"/>
      <c r="AS77" s="29"/>
      <c r="AT77" s="29"/>
      <c r="AU77" s="29"/>
      <c r="AV77" s="121" t="s">
        <v>897</v>
      </c>
      <c r="AW77" s="29"/>
      <c r="AX77" s="14">
        <f t="shared" si="4"/>
        <v>6</v>
      </c>
      <c r="AY77" s="14">
        <f t="shared" si="5"/>
        <v>2026</v>
      </c>
    </row>
    <row r="78" spans="1:51" ht="15.75" customHeight="1" x14ac:dyDescent="0.25">
      <c r="A78" s="11">
        <v>46199</v>
      </c>
      <c r="B78" s="12"/>
      <c r="C78" s="12"/>
      <c r="D78" s="12"/>
      <c r="E78" s="12"/>
      <c r="F78" s="12" t="s">
        <v>896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16" t="s">
        <v>902</v>
      </c>
      <c r="AW78" s="12"/>
      <c r="AX78" s="14">
        <f t="shared" si="4"/>
        <v>6</v>
      </c>
      <c r="AY78" s="14">
        <f t="shared" si="5"/>
        <v>2026</v>
      </c>
    </row>
    <row r="79" spans="1:51" ht="15.75" customHeight="1" x14ac:dyDescent="0.25">
      <c r="A79" s="11">
        <v>46199</v>
      </c>
      <c r="B79" s="15"/>
      <c r="C79" s="15"/>
      <c r="D79" s="15"/>
      <c r="E79" s="15"/>
      <c r="F79" s="15" t="s">
        <v>898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17" t="s">
        <v>909</v>
      </c>
      <c r="AW79" s="15"/>
      <c r="AX79" s="14">
        <f t="shared" si="4"/>
        <v>6</v>
      </c>
      <c r="AY79" s="14">
        <f t="shared" si="5"/>
        <v>2026</v>
      </c>
    </row>
    <row r="80" spans="1:51" ht="15.75" customHeight="1" x14ac:dyDescent="0.25">
      <c r="A80" s="11">
        <v>46199</v>
      </c>
      <c r="B80" s="12"/>
      <c r="C80" s="12"/>
      <c r="D80" s="12"/>
      <c r="E80" s="12"/>
      <c r="F80" s="12" t="s">
        <v>900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16" t="s">
        <v>911</v>
      </c>
      <c r="AW80" s="12"/>
      <c r="AX80" s="14">
        <f t="shared" si="4"/>
        <v>6</v>
      </c>
      <c r="AY80" s="14">
        <f t="shared" si="5"/>
        <v>2026</v>
      </c>
    </row>
    <row r="81" spans="1:56" ht="15.75" customHeight="1" x14ac:dyDescent="0.25">
      <c r="A81" s="11">
        <v>46199</v>
      </c>
      <c r="B81" s="15"/>
      <c r="C81" s="15"/>
      <c r="D81" s="15"/>
      <c r="E81" s="15"/>
      <c r="F81" s="15" t="s">
        <v>901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17" t="s">
        <v>913</v>
      </c>
      <c r="AW81" s="15"/>
      <c r="AX81" s="14">
        <f t="shared" si="4"/>
        <v>6</v>
      </c>
      <c r="AY81" s="14">
        <f t="shared" si="5"/>
        <v>2026</v>
      </c>
    </row>
    <row r="82" spans="1:56" s="103" customFormat="1" ht="15.75" customHeight="1" thickBot="1" x14ac:dyDescent="0.3">
      <c r="A82" s="101">
        <v>46199</v>
      </c>
      <c r="B82" s="102"/>
      <c r="C82" s="102"/>
      <c r="D82" s="102"/>
      <c r="E82" s="102"/>
      <c r="F82" s="102" t="s">
        <v>823</v>
      </c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26">
        <f t="shared" si="4"/>
        <v>6</v>
      </c>
      <c r="AY82" s="26">
        <f t="shared" si="5"/>
        <v>2026</v>
      </c>
    </row>
    <row r="83" spans="1:56" ht="15.75" customHeight="1" x14ac:dyDescent="0.25">
      <c r="A83" s="28">
        <v>46202</v>
      </c>
      <c r="B83" s="29" t="s">
        <v>945</v>
      </c>
      <c r="C83" s="29" t="s">
        <v>943</v>
      </c>
      <c r="D83" s="29"/>
      <c r="E83" s="29"/>
      <c r="F83" s="29" t="s">
        <v>937</v>
      </c>
      <c r="H83" s="29"/>
      <c r="I83" s="29" t="s">
        <v>944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W83" s="29" t="s">
        <v>953</v>
      </c>
      <c r="X83" s="29" t="s">
        <v>935</v>
      </c>
      <c r="Y83" s="29"/>
      <c r="Z83" s="29"/>
      <c r="AA83" s="29"/>
      <c r="AB83" s="29"/>
      <c r="AC83" s="29" t="s">
        <v>908</v>
      </c>
      <c r="AD83" s="29"/>
      <c r="AE83" s="29" t="s">
        <v>961</v>
      </c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1" t="s">
        <v>941</v>
      </c>
      <c r="AR83" s="29"/>
      <c r="AS83" s="29"/>
      <c r="AT83" s="29"/>
      <c r="AU83" s="121" t="s">
        <v>982</v>
      </c>
      <c r="AV83" s="121" t="s">
        <v>933</v>
      </c>
      <c r="AW83" s="121" t="s">
        <v>947</v>
      </c>
      <c r="AX83" s="14">
        <f t="shared" si="4"/>
        <v>6</v>
      </c>
      <c r="AY83" s="14">
        <f t="shared" si="5"/>
        <v>2026</v>
      </c>
    </row>
    <row r="84" spans="1:56" ht="15.75" customHeight="1" x14ac:dyDescent="0.25">
      <c r="A84" s="11">
        <v>46202</v>
      </c>
      <c r="B84" s="12"/>
      <c r="C84" s="12"/>
      <c r="D84" s="12"/>
      <c r="E84" s="12"/>
      <c r="F84" s="12" t="s">
        <v>940</v>
      </c>
      <c r="G84" s="12"/>
      <c r="H84" s="12"/>
      <c r="I84" s="12" t="s">
        <v>963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 t="s">
        <v>962</v>
      </c>
      <c r="X84" s="12" t="s">
        <v>952</v>
      </c>
      <c r="Y84" s="12"/>
      <c r="Z84" s="12"/>
      <c r="AA84" s="12"/>
      <c r="AB84" s="12"/>
      <c r="AC84" s="12"/>
      <c r="AD84" s="12"/>
      <c r="AE84" s="12" t="s">
        <v>979</v>
      </c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 t="s">
        <v>942</v>
      </c>
      <c r="AR84" s="12"/>
      <c r="AS84" s="12"/>
      <c r="AT84" s="12"/>
      <c r="AU84" s="12"/>
      <c r="AV84" s="116" t="s">
        <v>949</v>
      </c>
      <c r="AW84" s="116" t="s">
        <v>978</v>
      </c>
      <c r="AX84" s="14">
        <f t="shared" si="4"/>
        <v>6</v>
      </c>
      <c r="AY84" s="14">
        <f t="shared" si="5"/>
        <v>2026</v>
      </c>
    </row>
    <row r="85" spans="1:56" ht="15.75" customHeight="1" x14ac:dyDescent="0.25">
      <c r="A85" s="11">
        <v>46202</v>
      </c>
      <c r="B85" s="15"/>
      <c r="C85" s="15"/>
      <c r="D85" s="15"/>
      <c r="E85" s="15"/>
      <c r="F85" s="12" t="s">
        <v>752</v>
      </c>
      <c r="G85" s="15"/>
      <c r="H85" s="15"/>
      <c r="I85" s="15" t="s">
        <v>965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 t="s">
        <v>956</v>
      </c>
      <c r="Y85" s="15"/>
      <c r="Z85" s="15"/>
      <c r="AA85" s="15"/>
      <c r="AB85" s="15"/>
      <c r="AC85" s="15"/>
      <c r="AD85" s="15"/>
      <c r="AE85" s="15" t="s">
        <v>980</v>
      </c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 t="s">
        <v>946</v>
      </c>
      <c r="AR85" s="15"/>
      <c r="AS85" s="15"/>
      <c r="AT85" s="15"/>
      <c r="AU85" s="15"/>
      <c r="AV85" s="117" t="s">
        <v>950</v>
      </c>
      <c r="AW85" s="15"/>
      <c r="AX85" s="14">
        <f t="shared" si="4"/>
        <v>6</v>
      </c>
      <c r="AY85" s="14">
        <f t="shared" si="5"/>
        <v>2026</v>
      </c>
    </row>
    <row r="86" spans="1:56" ht="15.75" customHeight="1" x14ac:dyDescent="0.25">
      <c r="A86" s="11">
        <v>46202</v>
      </c>
      <c r="B86" s="12"/>
      <c r="C86" s="12"/>
      <c r="D86" s="12"/>
      <c r="E86" s="12"/>
      <c r="F86" s="12" t="s">
        <v>972</v>
      </c>
      <c r="G86" s="12"/>
      <c r="H86" s="12"/>
      <c r="I86" s="12" t="s">
        <v>966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 t="s">
        <v>974</v>
      </c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16" t="s">
        <v>954</v>
      </c>
      <c r="AW86" s="12"/>
      <c r="AX86" s="14">
        <f t="shared" si="4"/>
        <v>6</v>
      </c>
      <c r="AY86" s="14">
        <f t="shared" si="5"/>
        <v>2026</v>
      </c>
    </row>
    <row r="87" spans="1:56" ht="15.75" customHeight="1" x14ac:dyDescent="0.25">
      <c r="A87" s="11">
        <v>46202</v>
      </c>
      <c r="B87" s="15"/>
      <c r="C87" s="15"/>
      <c r="D87" s="15"/>
      <c r="E87" s="15"/>
      <c r="F87" s="15" t="s">
        <v>975</v>
      </c>
      <c r="G87" s="15"/>
      <c r="H87" s="15"/>
      <c r="I87" s="15" t="s">
        <v>967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17" t="s">
        <v>955</v>
      </c>
      <c r="AW87" s="15"/>
      <c r="AX87" s="14">
        <f t="shared" si="4"/>
        <v>6</v>
      </c>
      <c r="AY87" s="14">
        <f t="shared" si="5"/>
        <v>2026</v>
      </c>
      <c r="BD87" s="15"/>
    </row>
    <row r="88" spans="1:56" ht="15.75" customHeight="1" x14ac:dyDescent="0.25">
      <c r="A88" s="11">
        <v>46202</v>
      </c>
      <c r="B88" s="12"/>
      <c r="C88" s="12"/>
      <c r="D88" s="12"/>
      <c r="E88" s="12"/>
      <c r="F88" s="12" t="s">
        <v>785</v>
      </c>
      <c r="G88" s="12"/>
      <c r="H88" s="12"/>
      <c r="I88" s="12" t="s">
        <v>969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16" t="s">
        <v>957</v>
      </c>
      <c r="AW88" s="12"/>
      <c r="AX88" s="14">
        <f t="shared" si="4"/>
        <v>6</v>
      </c>
      <c r="AY88" s="14">
        <f t="shared" si="5"/>
        <v>2026</v>
      </c>
    </row>
    <row r="89" spans="1:56" ht="15.75" customHeight="1" x14ac:dyDescent="0.25">
      <c r="A89" s="11">
        <v>46202</v>
      </c>
      <c r="B89" s="15"/>
      <c r="C89" s="15"/>
      <c r="D89" s="15"/>
      <c r="E89" s="15"/>
      <c r="F89" s="15" t="s">
        <v>987</v>
      </c>
      <c r="G89" s="15"/>
      <c r="H89" s="15"/>
      <c r="I89" s="15" t="s">
        <v>970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17" t="s">
        <v>960</v>
      </c>
      <c r="AW89" s="15"/>
      <c r="AX89" s="14">
        <f t="shared" si="4"/>
        <v>6</v>
      </c>
      <c r="AY89" s="14">
        <f t="shared" si="5"/>
        <v>2026</v>
      </c>
    </row>
    <row r="90" spans="1:56" ht="15.75" customHeight="1" x14ac:dyDescent="0.25">
      <c r="A90" s="11">
        <v>46202</v>
      </c>
      <c r="B90" s="12"/>
      <c r="C90" s="12"/>
      <c r="D90" s="12"/>
      <c r="E90" s="12"/>
      <c r="F90" s="12"/>
      <c r="G90" s="12"/>
      <c r="H90" s="12"/>
      <c r="I90" s="12" t="s">
        <v>781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16" t="s">
        <v>971</v>
      </c>
      <c r="AW90" s="12"/>
      <c r="AX90" s="14">
        <f t="shared" si="4"/>
        <v>6</v>
      </c>
      <c r="AY90" s="14">
        <f t="shared" si="5"/>
        <v>2026</v>
      </c>
    </row>
    <row r="91" spans="1:56" ht="15.75" customHeight="1" x14ac:dyDescent="0.25">
      <c r="A91" s="11">
        <v>46202</v>
      </c>
      <c r="B91" s="15"/>
      <c r="C91" s="15"/>
      <c r="D91" s="15"/>
      <c r="E91" s="15"/>
      <c r="F91" s="15"/>
      <c r="G91" s="15"/>
      <c r="H91" s="15"/>
      <c r="I91" s="15" t="s">
        <v>983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17" t="s">
        <v>976</v>
      </c>
      <c r="AW91" s="15"/>
      <c r="AX91" s="14">
        <f>IF(A92="","",IF(ISNUMBER(A92),MONTH(A92),IFERROR(VALUE(MID(A92,FIND(".",A92)+1,FIND(".",A92,FIND(".",A92)+1)-FIND(".",A92)-1)),"")))</f>
        <v>6</v>
      </c>
      <c r="AY91" s="14">
        <f>IF(A92="","",IF(ISNUMBER(A92),YEAR(A92),IFERROR(VALUE(RIGHT(A92,4)),"")))</f>
        <v>2026</v>
      </c>
    </row>
    <row r="92" spans="1:56" ht="15.75" customHeight="1" x14ac:dyDescent="0.25">
      <c r="A92" s="11">
        <v>46202</v>
      </c>
      <c r="B92" s="12"/>
      <c r="C92" s="12"/>
      <c r="D92" s="12"/>
      <c r="E92" s="12"/>
      <c r="F92" s="12"/>
      <c r="G92" s="12"/>
      <c r="H92" s="12"/>
      <c r="I92" s="12" t="s">
        <v>988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16" t="s">
        <v>778</v>
      </c>
      <c r="AW92" s="12"/>
      <c r="AX92" s="14" t="e">
        <f>IF(#REF!="","",IF(ISNUMBER(#REF!),MONTH(#REF!),IFERROR(VALUE(MID(#REF!,FIND(".",#REF!)+1,FIND(".",#REF!,FIND(".",#REF!)+1)-FIND(".",#REF!)-1)),"")))</f>
        <v>#REF!</v>
      </c>
      <c r="AY92" s="14" t="e">
        <f>IF(#REF!="","",IF(ISNUMBER(#REF!),YEAR(#REF!),IFERROR(VALUE(RIGHT(#REF!,4)),"")))</f>
        <v>#REF!</v>
      </c>
    </row>
    <row r="93" spans="1:56" ht="15.75" customHeight="1" thickBot="1" x14ac:dyDescent="0.3">
      <c r="A93" s="16">
        <v>46202</v>
      </c>
      <c r="B93" s="42"/>
      <c r="C93" s="42"/>
      <c r="D93" s="42"/>
      <c r="E93" s="42"/>
      <c r="F93" s="42"/>
      <c r="G93" s="42"/>
      <c r="H93" s="42"/>
      <c r="I93" s="42" t="s">
        <v>989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152" t="s">
        <v>990</v>
      </c>
      <c r="AW93" s="42"/>
      <c r="AX93" s="14">
        <f>IF(A94="","",IF(ISNUMBER(A94),MONTH(A94),IFERROR(VALUE(MID(A94,FIND(".",A94)+1,FIND(".",A94,FIND(".",A94)+1)-FIND(".",A94)-1)),"")))</f>
        <v>6</v>
      </c>
      <c r="AY93" s="14">
        <f>IF(A94="","",IF(ISNUMBER(A94),YEAR(A94),IFERROR(VALUE(RIGHT(A94,4)),"")))</f>
        <v>2026</v>
      </c>
    </row>
    <row r="94" spans="1:56" s="105" customFormat="1" ht="15.75" customHeight="1" x14ac:dyDescent="0.25">
      <c r="A94" s="18">
        <v>46203</v>
      </c>
      <c r="B94" s="19"/>
      <c r="C94" s="19" t="s">
        <v>1010</v>
      </c>
      <c r="D94" s="19"/>
      <c r="E94" s="19"/>
      <c r="F94" s="19"/>
      <c r="G94" s="19"/>
      <c r="H94" s="19"/>
      <c r="I94" s="19" t="s">
        <v>991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 t="s">
        <v>1012</v>
      </c>
      <c r="X94" s="19"/>
      <c r="Y94" s="19"/>
      <c r="Z94" s="19"/>
      <c r="AA94" s="19"/>
      <c r="AB94" s="19"/>
      <c r="AC94" s="19"/>
      <c r="AD94" s="19"/>
      <c r="AE94" s="19" t="s">
        <v>1013</v>
      </c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 t="s">
        <v>1015</v>
      </c>
      <c r="AR94" s="19"/>
      <c r="AS94" s="19"/>
      <c r="AT94" s="19"/>
      <c r="AU94" s="19"/>
      <c r="AV94" s="153" t="s">
        <v>1014</v>
      </c>
      <c r="AW94" s="19"/>
      <c r="AX94" s="104" t="e">
        <f>IF(#REF!="","",IF(ISNUMBER(#REF!),MONTH(#REF!),IFERROR(VALUE(MID(#REF!,FIND(".",#REF!)+1,FIND(".",#REF!,FIND(".",#REF!)+1)-FIND(".",#REF!)-1)),"")))</f>
        <v>#REF!</v>
      </c>
      <c r="AY94" s="104" t="e">
        <f>IF(#REF!="","",IF(ISNUMBER(#REF!),YEAR(#REF!),IFERROR(VALUE(RIGHT(#REF!,4)),"")))</f>
        <v>#REF!</v>
      </c>
    </row>
    <row r="95" spans="1:56" ht="15.75" customHeight="1" thickBot="1" x14ac:dyDescent="0.3">
      <c r="A95" s="16">
        <v>46203</v>
      </c>
      <c r="B95" s="42"/>
      <c r="C95" s="42"/>
      <c r="D95" s="42"/>
      <c r="E95" s="42"/>
      <c r="F95" s="42"/>
      <c r="G95" s="42"/>
      <c r="H95" s="42"/>
      <c r="I95" s="42" t="s">
        <v>1009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14">
        <f t="shared" si="4"/>
        <v>6</v>
      </c>
      <c r="AY95" s="14">
        <f t="shared" si="5"/>
        <v>2026</v>
      </c>
    </row>
    <row r="96" spans="1:56" s="105" customFormat="1" ht="15.75" customHeight="1" x14ac:dyDescent="0.25">
      <c r="A96" s="18">
        <v>46204</v>
      </c>
      <c r="B96" s="19"/>
      <c r="C96" s="19"/>
      <c r="D96" s="19"/>
      <c r="E96" s="19"/>
      <c r="F96" s="19" t="s">
        <v>1031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 t="s">
        <v>1049</v>
      </c>
      <c r="Y96" s="19"/>
      <c r="Z96" s="19"/>
      <c r="AA96" s="19"/>
      <c r="AB96" s="19"/>
      <c r="AC96" s="19" t="s">
        <v>1046</v>
      </c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 t="s">
        <v>1036</v>
      </c>
      <c r="AR96" s="19"/>
      <c r="AS96" s="19"/>
      <c r="AT96" s="19"/>
      <c r="AU96" s="19"/>
      <c r="AV96" s="153" t="s">
        <v>1034</v>
      </c>
      <c r="AW96" s="19"/>
      <c r="AX96" s="104">
        <f t="shared" si="4"/>
        <v>7</v>
      </c>
      <c r="AY96" s="104">
        <f t="shared" si="5"/>
        <v>2026</v>
      </c>
    </row>
    <row r="97" spans="1:51" ht="15.75" customHeight="1" x14ac:dyDescent="0.25">
      <c r="A97" s="11">
        <v>46204</v>
      </c>
      <c r="B97" s="15"/>
      <c r="C97" s="15"/>
      <c r="D97" s="15"/>
      <c r="E97" s="15"/>
      <c r="F97" s="15" t="s">
        <v>1033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 t="s">
        <v>1051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 t="s">
        <v>1041</v>
      </c>
      <c r="AR97" s="15"/>
      <c r="AS97" s="15"/>
      <c r="AT97" s="15"/>
      <c r="AU97" s="15"/>
      <c r="AV97" s="117" t="s">
        <v>964</v>
      </c>
      <c r="AW97" s="15"/>
      <c r="AX97" s="14">
        <f t="shared" si="4"/>
        <v>7</v>
      </c>
      <c r="AY97" s="14">
        <f t="shared" si="5"/>
        <v>2026</v>
      </c>
    </row>
    <row r="98" spans="1:51" ht="15.75" customHeight="1" x14ac:dyDescent="0.25">
      <c r="A98" s="11">
        <v>46204</v>
      </c>
      <c r="B98" s="12"/>
      <c r="C98" s="12"/>
      <c r="D98" s="12"/>
      <c r="E98" s="12"/>
      <c r="F98" s="12" t="s">
        <v>1038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 t="s">
        <v>1044</v>
      </c>
      <c r="AR98" s="12"/>
      <c r="AS98" s="12"/>
      <c r="AT98" s="12"/>
      <c r="AU98" s="12"/>
      <c r="AV98" s="116" t="s">
        <v>1048</v>
      </c>
      <c r="AW98" s="12"/>
      <c r="AX98" s="14">
        <f t="shared" si="4"/>
        <v>7</v>
      </c>
      <c r="AY98" s="14">
        <f t="shared" si="5"/>
        <v>2026</v>
      </c>
    </row>
    <row r="99" spans="1:51" ht="15.75" customHeight="1" x14ac:dyDescent="0.25">
      <c r="A99" s="11">
        <v>46204</v>
      </c>
      <c r="B99" s="15"/>
      <c r="C99" s="15"/>
      <c r="D99" s="15"/>
      <c r="E99" s="15"/>
      <c r="F99" s="15" t="s">
        <v>985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 t="s">
        <v>1047</v>
      </c>
      <c r="AR99" s="15"/>
      <c r="AS99" s="15"/>
      <c r="AT99" s="15"/>
      <c r="AU99" s="15"/>
      <c r="AV99" s="15"/>
      <c r="AW99" s="15"/>
      <c r="AX99" s="14">
        <f t="shared" si="4"/>
        <v>7</v>
      </c>
      <c r="AY99" s="14">
        <f t="shared" si="5"/>
        <v>2026</v>
      </c>
    </row>
    <row r="100" spans="1:51" s="103" customFormat="1" ht="15.75" customHeight="1" thickBot="1" x14ac:dyDescent="0.3">
      <c r="A100" s="101">
        <v>46204</v>
      </c>
      <c r="B100" s="102"/>
      <c r="C100" s="102"/>
      <c r="D100" s="102"/>
      <c r="E100" s="102"/>
      <c r="F100" s="102" t="s">
        <v>1053</v>
      </c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26">
        <f t="shared" si="4"/>
        <v>7</v>
      </c>
      <c r="AY100" s="26">
        <f t="shared" si="5"/>
        <v>2026</v>
      </c>
    </row>
    <row r="101" spans="1:51" ht="15.75" customHeight="1" x14ac:dyDescent="0.25">
      <c r="A101" s="28">
        <v>46205</v>
      </c>
      <c r="B101" s="29"/>
      <c r="C101" s="29" t="s">
        <v>1073</v>
      </c>
      <c r="D101" s="29"/>
      <c r="E101" s="29"/>
      <c r="F101" s="29" t="s">
        <v>1072</v>
      </c>
      <c r="G101" s="29"/>
      <c r="H101" s="29"/>
      <c r="I101" s="29" t="s">
        <v>1077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 t="s">
        <v>1079</v>
      </c>
      <c r="X101" s="29" t="s">
        <v>1083</v>
      </c>
      <c r="Y101" s="29"/>
      <c r="Z101" s="29"/>
      <c r="AA101" s="29"/>
      <c r="AB101" s="29"/>
      <c r="AC101" s="29"/>
      <c r="AD101" s="29"/>
      <c r="AE101" s="29" t="s">
        <v>1081</v>
      </c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 t="s">
        <v>1082</v>
      </c>
      <c r="AR101" s="29"/>
      <c r="AS101" s="29"/>
      <c r="AT101" s="29"/>
      <c r="AU101" s="29"/>
      <c r="AV101" s="121" t="s">
        <v>1068</v>
      </c>
      <c r="AW101" s="121" t="s">
        <v>1071</v>
      </c>
      <c r="AX101" s="14">
        <f t="shared" si="4"/>
        <v>7</v>
      </c>
      <c r="AY101" s="14">
        <f t="shared" si="5"/>
        <v>2026</v>
      </c>
    </row>
    <row r="102" spans="1:51" ht="15.75" customHeight="1" x14ac:dyDescent="0.25">
      <c r="A102" s="11">
        <v>46205</v>
      </c>
      <c r="B102" s="12"/>
      <c r="C102" s="12"/>
      <c r="D102" s="12"/>
      <c r="E102" s="12"/>
      <c r="F102" s="12"/>
      <c r="G102" s="12"/>
      <c r="H102" s="12"/>
      <c r="I102" s="12" t="s">
        <v>1091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 t="s">
        <v>1080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 t="s">
        <v>1100</v>
      </c>
      <c r="AR102" s="12"/>
      <c r="AS102" s="12"/>
      <c r="AT102" s="12"/>
      <c r="AU102" s="12"/>
      <c r="AV102" s="116" t="s">
        <v>1069</v>
      </c>
      <c r="AW102" s="12"/>
      <c r="AX102" s="14">
        <f t="shared" ref="AX102:AX131" si="6">IF(A102="","",IF(ISNUMBER(A102),MONTH(A102),IFERROR(VALUE(MID(A102,FIND(".",A102)+1,FIND(".",A102,FIND(".",A102)+1)-FIND(".",A102)-1)),"")))</f>
        <v>7</v>
      </c>
      <c r="AY102" s="14">
        <f t="shared" ref="AY102:AY131" si="7">IF(A102="","",IF(ISNUMBER(A102),YEAR(A102),IFERROR(VALUE(RIGHT(A102,4)),"")))</f>
        <v>2026</v>
      </c>
    </row>
    <row r="103" spans="1:51" ht="15.75" customHeight="1" x14ac:dyDescent="0.25">
      <c r="A103" s="11">
        <v>46205</v>
      </c>
      <c r="B103" s="15"/>
      <c r="C103" s="15"/>
      <c r="D103" s="15"/>
      <c r="E103" s="15"/>
      <c r="F103" s="15"/>
      <c r="G103" s="15"/>
      <c r="H103" s="15"/>
      <c r="I103" s="15" t="s">
        <v>1101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 t="s">
        <v>1097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17" t="s">
        <v>1078</v>
      </c>
      <c r="AW103" s="15"/>
      <c r="AX103" s="14">
        <f t="shared" si="6"/>
        <v>7</v>
      </c>
      <c r="AY103" s="14">
        <f t="shared" si="7"/>
        <v>2026</v>
      </c>
    </row>
    <row r="104" spans="1:51" ht="15.75" customHeight="1" x14ac:dyDescent="0.25">
      <c r="A104" s="11">
        <v>46205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 t="s">
        <v>1098</v>
      </c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16" t="s">
        <v>1070</v>
      </c>
      <c r="AW104" s="12"/>
      <c r="AX104" s="14">
        <f t="shared" si="6"/>
        <v>7</v>
      </c>
      <c r="AY104" s="14">
        <f t="shared" si="7"/>
        <v>2026</v>
      </c>
    </row>
    <row r="105" spans="1:51" ht="15.75" customHeight="1" x14ac:dyDescent="0.25">
      <c r="A105" s="11">
        <v>46205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 t="s">
        <v>1099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17" t="s">
        <v>1084</v>
      </c>
      <c r="AW105" s="15"/>
      <c r="AX105" s="14">
        <f t="shared" si="6"/>
        <v>7</v>
      </c>
      <c r="AY105" s="14">
        <f t="shared" si="7"/>
        <v>2026</v>
      </c>
    </row>
    <row r="106" spans="1:51" ht="15.75" customHeight="1" x14ac:dyDescent="0.25">
      <c r="A106" s="11">
        <v>46205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16" t="s">
        <v>1085</v>
      </c>
      <c r="AW106" s="12"/>
      <c r="AX106" s="14">
        <f t="shared" si="6"/>
        <v>7</v>
      </c>
      <c r="AY106" s="14">
        <f t="shared" si="7"/>
        <v>2026</v>
      </c>
    </row>
    <row r="107" spans="1:51" ht="15.75" customHeight="1" x14ac:dyDescent="0.25">
      <c r="A107" s="11">
        <v>46205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17" t="s">
        <v>1089</v>
      </c>
      <c r="AW107" s="15"/>
      <c r="AX107" s="14">
        <f t="shared" si="6"/>
        <v>7</v>
      </c>
      <c r="AY107" s="14">
        <f t="shared" si="7"/>
        <v>2026</v>
      </c>
    </row>
    <row r="108" spans="1:51" ht="15.75" customHeight="1" thickBot="1" x14ac:dyDescent="0.3">
      <c r="A108" s="16">
        <v>46205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18" t="s">
        <v>1092</v>
      </c>
      <c r="AW108" s="17"/>
      <c r="AX108" s="14">
        <f t="shared" si="6"/>
        <v>7</v>
      </c>
      <c r="AY108" s="14">
        <f t="shared" si="7"/>
        <v>2026</v>
      </c>
    </row>
    <row r="109" spans="1:51" s="105" customFormat="1" ht="15.75" customHeight="1" x14ac:dyDescent="0.25">
      <c r="A109" s="18">
        <v>46206</v>
      </c>
      <c r="B109" s="20"/>
      <c r="C109" s="20" t="s">
        <v>1124</v>
      </c>
      <c r="D109" s="20"/>
      <c r="E109" s="20"/>
      <c r="F109" s="20" t="s">
        <v>1125</v>
      </c>
      <c r="G109" s="20" t="s">
        <v>1058</v>
      </c>
      <c r="H109" s="20"/>
      <c r="I109" s="20" t="s">
        <v>1130</v>
      </c>
      <c r="J109" s="20"/>
      <c r="K109" s="20"/>
      <c r="L109" s="20"/>
      <c r="M109" s="20"/>
      <c r="N109" s="20"/>
      <c r="O109" s="20" t="s">
        <v>1143</v>
      </c>
      <c r="P109" s="20"/>
      <c r="Q109" s="20"/>
      <c r="R109" s="20"/>
      <c r="S109" s="20"/>
      <c r="T109" s="20"/>
      <c r="U109" s="20"/>
      <c r="V109" s="20"/>
      <c r="W109" s="20" t="s">
        <v>984</v>
      </c>
      <c r="X109" s="20" t="s">
        <v>1154</v>
      </c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 t="s">
        <v>1145</v>
      </c>
      <c r="AQ109" s="20" t="s">
        <v>1128</v>
      </c>
      <c r="AR109" s="20"/>
      <c r="AS109" s="20"/>
      <c r="AT109" s="20"/>
      <c r="AU109" s="119" t="s">
        <v>1149</v>
      </c>
      <c r="AV109" s="119" t="s">
        <v>1131</v>
      </c>
      <c r="AW109" s="119" t="s">
        <v>1153</v>
      </c>
      <c r="AX109" s="104">
        <f t="shared" si="6"/>
        <v>7</v>
      </c>
      <c r="AY109" s="104">
        <f t="shared" si="7"/>
        <v>2026</v>
      </c>
    </row>
    <row r="110" spans="1:51" ht="15.75" customHeight="1" x14ac:dyDescent="0.25">
      <c r="A110" s="11">
        <v>46206</v>
      </c>
      <c r="B110" s="12"/>
      <c r="C110" s="12" t="s">
        <v>1132</v>
      </c>
      <c r="D110" s="12"/>
      <c r="E110" s="12"/>
      <c r="F110" s="1" t="s">
        <v>1129</v>
      </c>
      <c r="G110" s="12"/>
      <c r="H110" s="12"/>
      <c r="I110" s="12" t="s">
        <v>1133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 t="s">
        <v>1148</v>
      </c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 t="s">
        <v>1139</v>
      </c>
      <c r="AR110" s="12"/>
      <c r="AS110" s="12"/>
      <c r="AT110" s="12"/>
      <c r="AU110" s="12"/>
      <c r="AV110" s="116" t="s">
        <v>1136</v>
      </c>
      <c r="AW110" s="12"/>
      <c r="AX110" s="14">
        <f t="shared" si="6"/>
        <v>7</v>
      </c>
      <c r="AY110" s="14">
        <f t="shared" si="7"/>
        <v>2026</v>
      </c>
    </row>
    <row r="111" spans="1:51" ht="15.75" customHeight="1" x14ac:dyDescent="0.25">
      <c r="A111" s="11">
        <v>46206</v>
      </c>
      <c r="B111" s="15"/>
      <c r="C111" s="15" t="s">
        <v>1054</v>
      </c>
      <c r="D111" s="15"/>
      <c r="E111" s="15"/>
      <c r="F111" s="15" t="s">
        <v>1151</v>
      </c>
      <c r="G111" s="15"/>
      <c r="H111" s="15"/>
      <c r="I111" s="15" t="s">
        <v>1138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 t="s">
        <v>1140</v>
      </c>
      <c r="AR111" s="15"/>
      <c r="AS111" s="15"/>
      <c r="AT111" s="15"/>
      <c r="AU111" s="15"/>
      <c r="AV111" s="117" t="s">
        <v>1137</v>
      </c>
      <c r="AW111" s="15"/>
      <c r="AX111" s="14">
        <f t="shared" si="6"/>
        <v>7</v>
      </c>
      <c r="AY111" s="14">
        <f t="shared" si="7"/>
        <v>2026</v>
      </c>
    </row>
    <row r="112" spans="1:51" ht="15.75" customHeight="1" x14ac:dyDescent="0.25">
      <c r="A112" s="11">
        <v>46206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16" t="s">
        <v>1146</v>
      </c>
      <c r="AW112" s="12"/>
      <c r="AX112" s="14">
        <f t="shared" si="6"/>
        <v>7</v>
      </c>
      <c r="AY112" s="14">
        <f t="shared" si="7"/>
        <v>2026</v>
      </c>
    </row>
    <row r="113" spans="1:51" s="103" customFormat="1" ht="15.75" customHeight="1" thickBot="1" x14ac:dyDescent="0.3">
      <c r="A113" s="101">
        <v>46206</v>
      </c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50" t="s">
        <v>1152</v>
      </c>
      <c r="AW113" s="126"/>
      <c r="AX113" s="26">
        <f t="shared" si="6"/>
        <v>7</v>
      </c>
      <c r="AY113" s="26">
        <f t="shared" si="7"/>
        <v>2026</v>
      </c>
    </row>
    <row r="114" spans="1:51" ht="15.75" customHeight="1" x14ac:dyDescent="0.25">
      <c r="A114" s="28">
        <v>46209</v>
      </c>
      <c r="B114" s="37"/>
      <c r="C114" s="37" t="s">
        <v>1196</v>
      </c>
      <c r="D114" s="37"/>
      <c r="E114" s="37"/>
      <c r="F114" s="37" t="s">
        <v>1195</v>
      </c>
      <c r="G114" s="37"/>
      <c r="H114" s="37"/>
      <c r="I114" s="37" t="s">
        <v>1202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 t="s">
        <v>1199</v>
      </c>
      <c r="X114" s="37" t="s">
        <v>1150</v>
      </c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 t="s">
        <v>1201</v>
      </c>
      <c r="AR114" s="37"/>
      <c r="AS114" s="37"/>
      <c r="AT114" s="37"/>
      <c r="AU114" s="37"/>
      <c r="AV114" s="124" t="s">
        <v>1200</v>
      </c>
      <c r="AX114" s="14">
        <f t="shared" si="6"/>
        <v>7</v>
      </c>
      <c r="AY114" s="14">
        <f t="shared" si="7"/>
        <v>2026</v>
      </c>
    </row>
    <row r="115" spans="1:51" ht="15.75" customHeight="1" x14ac:dyDescent="0.25">
      <c r="A115" s="11">
        <v>46209</v>
      </c>
      <c r="B115" s="15"/>
      <c r="C115" s="15"/>
      <c r="D115" s="15"/>
      <c r="E115" s="15"/>
      <c r="F115" s="15" t="s">
        <v>939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 t="s">
        <v>1141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17" t="s">
        <v>1203</v>
      </c>
      <c r="AW115" s="117" t="s">
        <v>1211</v>
      </c>
      <c r="AX115" s="14">
        <f t="shared" si="6"/>
        <v>7</v>
      </c>
      <c r="AY115" s="14">
        <f t="shared" si="7"/>
        <v>2026</v>
      </c>
    </row>
    <row r="116" spans="1:51" ht="15.75" customHeight="1" x14ac:dyDescent="0.25">
      <c r="A116" s="159">
        <v>46209</v>
      </c>
      <c r="B116" s="12"/>
      <c r="C116" s="12"/>
      <c r="D116" s="12"/>
      <c r="E116" s="12"/>
      <c r="F116" s="12" t="s">
        <v>1204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 t="s">
        <v>1206</v>
      </c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16" t="s">
        <v>1207</v>
      </c>
      <c r="AW116" s="12"/>
      <c r="AX116" s="14">
        <f t="shared" si="6"/>
        <v>7</v>
      </c>
      <c r="AY116" s="14">
        <f t="shared" si="7"/>
        <v>2026</v>
      </c>
    </row>
    <row r="117" spans="1:51" ht="15.75" customHeight="1" x14ac:dyDescent="0.25">
      <c r="A117" s="11">
        <v>46209</v>
      </c>
      <c r="B117" s="15"/>
      <c r="C117" s="15"/>
      <c r="D117" s="15"/>
      <c r="E117" s="15"/>
      <c r="F117" s="15" t="s">
        <v>1205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 t="s">
        <v>1210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4">
        <f t="shared" si="6"/>
        <v>7</v>
      </c>
      <c r="AY117" s="14">
        <f t="shared" si="7"/>
        <v>2026</v>
      </c>
    </row>
    <row r="118" spans="1:51" s="103" customFormat="1" ht="15.75" customHeight="1" thickBot="1" x14ac:dyDescent="0.3">
      <c r="A118" s="101">
        <v>46209</v>
      </c>
      <c r="B118" s="102"/>
      <c r="C118" s="102"/>
      <c r="D118" s="102"/>
      <c r="E118" s="102"/>
      <c r="F118" s="102" t="s">
        <v>1214</v>
      </c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26">
        <f t="shared" si="6"/>
        <v>7</v>
      </c>
      <c r="AY118" s="26">
        <f t="shared" si="7"/>
        <v>2026</v>
      </c>
    </row>
    <row r="119" spans="1:51" ht="15.75" customHeight="1" x14ac:dyDescent="0.25">
      <c r="A119" s="28">
        <v>46210</v>
      </c>
      <c r="B119" s="29"/>
      <c r="C119" s="29"/>
      <c r="D119" s="29"/>
      <c r="E119" s="29"/>
      <c r="F119" s="29" t="s">
        <v>1243</v>
      </c>
      <c r="G119" s="29"/>
      <c r="H119" s="29"/>
      <c r="I119" s="29" t="s">
        <v>1224</v>
      </c>
      <c r="J119" s="29"/>
      <c r="K119" s="29" t="s">
        <v>1250</v>
      </c>
      <c r="L119" s="29"/>
      <c r="M119" s="29"/>
      <c r="N119" s="29"/>
      <c r="O119" s="29"/>
      <c r="P119" s="29"/>
      <c r="Q119" s="29"/>
      <c r="R119" s="29"/>
      <c r="S119" s="29"/>
      <c r="T119" s="29" t="s">
        <v>1259</v>
      </c>
      <c r="U119" s="29"/>
      <c r="V119" s="29"/>
      <c r="W119" s="29" t="s">
        <v>1264</v>
      </c>
      <c r="X119" s="29" t="s">
        <v>1249</v>
      </c>
      <c r="Y119" s="29"/>
      <c r="Z119" s="29"/>
      <c r="AA119" s="29"/>
      <c r="AB119" s="29"/>
      <c r="AC119" s="29" t="s">
        <v>1270</v>
      </c>
      <c r="AD119" s="29"/>
      <c r="AE119" s="29" t="s">
        <v>1268</v>
      </c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 t="s">
        <v>1231</v>
      </c>
      <c r="AR119" s="29"/>
      <c r="AS119" s="29"/>
      <c r="AT119" s="29"/>
      <c r="AU119" s="29"/>
      <c r="AV119" s="121" t="s">
        <v>1221</v>
      </c>
      <c r="AW119" s="29"/>
      <c r="AX119" s="14">
        <f t="shared" si="6"/>
        <v>7</v>
      </c>
      <c r="AY119" s="14">
        <f t="shared" si="7"/>
        <v>2026</v>
      </c>
    </row>
    <row r="120" spans="1:51" ht="15.75" customHeight="1" x14ac:dyDescent="0.25">
      <c r="A120" s="11">
        <v>46210</v>
      </c>
      <c r="B120" s="12"/>
      <c r="C120" s="12"/>
      <c r="D120" s="12"/>
      <c r="E120" s="12"/>
      <c r="F120" s="12" t="s">
        <v>1244</v>
      </c>
      <c r="G120" s="12"/>
      <c r="H120" s="12"/>
      <c r="I120" s="12" t="s">
        <v>1226</v>
      </c>
      <c r="J120" s="12"/>
      <c r="K120" s="12" t="s">
        <v>1260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 t="s">
        <v>1271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 t="s">
        <v>1252</v>
      </c>
      <c r="AR120" s="12"/>
      <c r="AS120" s="12"/>
      <c r="AT120" s="12"/>
      <c r="AU120" s="12"/>
      <c r="AV120" s="116" t="s">
        <v>1229</v>
      </c>
      <c r="AW120" s="12"/>
      <c r="AX120" s="14">
        <f t="shared" si="6"/>
        <v>7</v>
      </c>
      <c r="AY120" s="14">
        <f t="shared" si="7"/>
        <v>2026</v>
      </c>
    </row>
    <row r="121" spans="1:51" ht="15.75" customHeight="1" x14ac:dyDescent="0.25">
      <c r="A121" s="11">
        <v>46210</v>
      </c>
      <c r="B121" s="15"/>
      <c r="C121" s="15"/>
      <c r="D121" s="15"/>
      <c r="E121" s="15"/>
      <c r="F121" s="15" t="s">
        <v>1257</v>
      </c>
      <c r="G121" s="15"/>
      <c r="H121" s="15"/>
      <c r="I121" s="15" t="s">
        <v>1233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 t="s">
        <v>1272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17" t="s">
        <v>1197</v>
      </c>
      <c r="AW121" s="15"/>
      <c r="AX121" s="14">
        <f t="shared" si="6"/>
        <v>7</v>
      </c>
      <c r="AY121" s="14">
        <f t="shared" si="7"/>
        <v>2026</v>
      </c>
    </row>
    <row r="122" spans="1:51" ht="15.75" customHeight="1" x14ac:dyDescent="0.25">
      <c r="A122" s="11">
        <v>46210</v>
      </c>
      <c r="B122" s="12"/>
      <c r="C122" s="12"/>
      <c r="D122" s="12"/>
      <c r="E122" s="12"/>
      <c r="F122" s="12" t="s">
        <v>1266</v>
      </c>
      <c r="G122" s="12"/>
      <c r="H122" s="12"/>
      <c r="I122" s="12" t="s">
        <v>1241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16" t="s">
        <v>1238</v>
      </c>
      <c r="AW122" s="12"/>
      <c r="AX122" s="14">
        <f t="shared" si="6"/>
        <v>7</v>
      </c>
      <c r="AY122" s="14">
        <f t="shared" si="7"/>
        <v>2026</v>
      </c>
    </row>
    <row r="123" spans="1:51" ht="15.75" customHeight="1" x14ac:dyDescent="0.25">
      <c r="A123" s="11">
        <v>46210</v>
      </c>
      <c r="B123" s="15"/>
      <c r="C123" s="15"/>
      <c r="D123" s="15"/>
      <c r="E123" s="15"/>
      <c r="F123" s="15" t="s">
        <v>1267</v>
      </c>
      <c r="G123" s="15"/>
      <c r="H123" s="15"/>
      <c r="I123" s="15" t="s">
        <v>1242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17" t="s">
        <v>1247</v>
      </c>
      <c r="AW123" s="15"/>
      <c r="AX123" s="14">
        <f t="shared" si="6"/>
        <v>7</v>
      </c>
      <c r="AY123" s="14">
        <f t="shared" si="7"/>
        <v>2026</v>
      </c>
    </row>
    <row r="124" spans="1:51" ht="15.75" customHeight="1" x14ac:dyDescent="0.25">
      <c r="A124" s="11">
        <v>46210</v>
      </c>
      <c r="B124" s="12"/>
      <c r="C124" s="12"/>
      <c r="D124" s="12"/>
      <c r="E124" s="12"/>
      <c r="F124" s="12"/>
      <c r="G124" s="12"/>
      <c r="H124" s="12"/>
      <c r="I124" s="12" t="s">
        <v>1248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16" t="s">
        <v>1251</v>
      </c>
      <c r="AW124" s="12"/>
      <c r="AX124" s="14">
        <f t="shared" si="6"/>
        <v>7</v>
      </c>
      <c r="AY124" s="14">
        <f t="shared" si="7"/>
        <v>2026</v>
      </c>
    </row>
    <row r="125" spans="1:51" ht="15.75" customHeight="1" x14ac:dyDescent="0.25">
      <c r="A125" s="11">
        <v>46210</v>
      </c>
      <c r="B125" s="15"/>
      <c r="C125" s="15"/>
      <c r="D125" s="15"/>
      <c r="E125" s="15"/>
      <c r="F125" s="15"/>
      <c r="G125" s="15"/>
      <c r="H125" s="15"/>
      <c r="I125" s="15" t="s">
        <v>1123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17" t="s">
        <v>1147</v>
      </c>
      <c r="AW125" s="15"/>
      <c r="AX125" s="14">
        <f t="shared" si="6"/>
        <v>7</v>
      </c>
      <c r="AY125" s="14">
        <f t="shared" si="7"/>
        <v>2026</v>
      </c>
    </row>
    <row r="126" spans="1:51" ht="15.75" customHeight="1" x14ac:dyDescent="0.25">
      <c r="A126" s="11">
        <v>46210</v>
      </c>
      <c r="B126" s="12"/>
      <c r="C126" s="12"/>
      <c r="D126" s="12"/>
      <c r="E126" s="12"/>
      <c r="F126" s="12"/>
      <c r="G126" s="12"/>
      <c r="H126" s="12"/>
      <c r="I126" s="12" t="s">
        <v>1208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16" t="s">
        <v>1198</v>
      </c>
      <c r="AW126" s="12"/>
      <c r="AX126" s="14">
        <f t="shared" si="6"/>
        <v>7</v>
      </c>
      <c r="AY126" s="14">
        <f t="shared" si="7"/>
        <v>2026</v>
      </c>
    </row>
    <row r="127" spans="1:51" ht="15.75" customHeight="1" x14ac:dyDescent="0.25">
      <c r="A127" s="11">
        <v>46210</v>
      </c>
      <c r="B127" s="15"/>
      <c r="C127" s="15"/>
      <c r="D127" s="15"/>
      <c r="E127" s="15"/>
      <c r="F127" s="15"/>
      <c r="G127" s="15"/>
      <c r="H127" s="15"/>
      <c r="I127" s="15" t="s">
        <v>1256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17" t="s">
        <v>1276</v>
      </c>
      <c r="AW127" s="15"/>
      <c r="AX127" s="14">
        <f t="shared" si="6"/>
        <v>7</v>
      </c>
      <c r="AY127" s="14">
        <f t="shared" si="7"/>
        <v>2026</v>
      </c>
    </row>
    <row r="128" spans="1:51" ht="15.75" customHeight="1" x14ac:dyDescent="0.25">
      <c r="A128" s="11">
        <v>46210</v>
      </c>
      <c r="B128" s="12"/>
      <c r="C128" s="12"/>
      <c r="D128" s="12"/>
      <c r="E128" s="12"/>
      <c r="F128" s="12"/>
      <c r="G128" s="12"/>
      <c r="H128" s="12"/>
      <c r="I128" s="12" t="s">
        <v>1261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4">
        <f t="shared" si="6"/>
        <v>7</v>
      </c>
      <c r="AY128" s="14">
        <f t="shared" si="7"/>
        <v>2026</v>
      </c>
    </row>
    <row r="129" spans="1:51" s="103" customFormat="1" ht="15.75" customHeight="1" thickBot="1" x14ac:dyDescent="0.3">
      <c r="A129" s="16">
        <v>46210</v>
      </c>
      <c r="B129" s="42"/>
      <c r="C129" s="42"/>
      <c r="D129" s="42"/>
      <c r="E129" s="42"/>
      <c r="F129" s="42"/>
      <c r="G129" s="42"/>
      <c r="H129" s="42"/>
      <c r="I129" s="42" t="s">
        <v>1265</v>
      </c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26">
        <f t="shared" si="6"/>
        <v>7</v>
      </c>
      <c r="AY129" s="26">
        <f t="shared" si="7"/>
        <v>2026</v>
      </c>
    </row>
    <row r="130" spans="1:51" ht="15.75" customHeight="1" thickBot="1" x14ac:dyDescent="0.3">
      <c r="A130" s="30">
        <v>46211</v>
      </c>
      <c r="B130" s="160" t="s">
        <v>1301</v>
      </c>
      <c r="C130" s="160"/>
      <c r="D130" s="160"/>
      <c r="E130" s="160" t="s">
        <v>1299</v>
      </c>
      <c r="F130" s="160" t="s">
        <v>1307</v>
      </c>
      <c r="G130" s="160"/>
      <c r="H130" s="160"/>
      <c r="I130" s="160" t="s">
        <v>1305</v>
      </c>
      <c r="J130" s="160"/>
      <c r="K130" s="160" t="s">
        <v>1314</v>
      </c>
      <c r="L130" s="160"/>
      <c r="M130" s="160"/>
      <c r="N130" s="160"/>
      <c r="O130" s="160" t="s">
        <v>1278</v>
      </c>
      <c r="P130" s="160"/>
      <c r="Q130" s="160"/>
      <c r="R130" s="160"/>
      <c r="T130" s="160"/>
      <c r="U130" s="160"/>
      <c r="V130" s="160"/>
      <c r="W130" s="160"/>
      <c r="X130" s="160" t="s">
        <v>1304</v>
      </c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 t="s">
        <v>1298</v>
      </c>
      <c r="AR130" s="160"/>
      <c r="AS130" s="160"/>
      <c r="AT130" s="160"/>
      <c r="AU130" s="160"/>
      <c r="AV130" s="173" t="s">
        <v>1306</v>
      </c>
      <c r="AW130" s="47"/>
      <c r="AX130" s="14">
        <f t="shared" si="6"/>
        <v>7</v>
      </c>
      <c r="AY130" s="14">
        <f t="shared" si="7"/>
        <v>2026</v>
      </c>
    </row>
    <row r="131" spans="1:51" ht="15.75" customHeight="1" x14ac:dyDescent="0.25">
      <c r="A131" s="31">
        <v>46211</v>
      </c>
      <c r="B131" s="15" t="s">
        <v>1302</v>
      </c>
      <c r="C131" s="15"/>
      <c r="D131" s="15"/>
      <c r="E131" s="15" t="s">
        <v>1308</v>
      </c>
      <c r="F131" s="15" t="s">
        <v>1309</v>
      </c>
      <c r="G131" s="15"/>
      <c r="H131" s="15"/>
      <c r="I131" s="15" t="s">
        <v>1324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60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 t="s">
        <v>1300</v>
      </c>
      <c r="AR131" s="15"/>
      <c r="AS131" s="15"/>
      <c r="AT131" s="15"/>
      <c r="AU131" s="15"/>
      <c r="AV131" s="117" t="s">
        <v>1310</v>
      </c>
      <c r="AW131" s="33"/>
      <c r="AX131" s="14">
        <f t="shared" si="6"/>
        <v>7</v>
      </c>
      <c r="AY131" s="14">
        <f t="shared" si="7"/>
        <v>2026</v>
      </c>
    </row>
    <row r="132" spans="1:51" ht="15.75" customHeight="1" x14ac:dyDescent="0.25">
      <c r="A132" s="31">
        <v>46211</v>
      </c>
      <c r="B132" s="12" t="s">
        <v>1320</v>
      </c>
      <c r="C132" s="12"/>
      <c r="D132" s="12"/>
      <c r="E132" s="12"/>
      <c r="F132" s="12" t="s">
        <v>1311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 t="s">
        <v>1318</v>
      </c>
      <c r="AR132" s="12"/>
      <c r="AS132" s="12"/>
      <c r="AT132" s="12"/>
      <c r="AU132" s="12"/>
      <c r="AV132" s="116" t="s">
        <v>1313</v>
      </c>
      <c r="AW132" s="32"/>
      <c r="AX132" s="14"/>
      <c r="AY132" s="14"/>
    </row>
    <row r="133" spans="1:51" ht="15.75" customHeight="1" x14ac:dyDescent="0.25">
      <c r="A133" s="31">
        <v>46211</v>
      </c>
      <c r="B133" s="15" t="s">
        <v>1327</v>
      </c>
      <c r="C133" s="15"/>
      <c r="D133" s="15"/>
      <c r="E133" s="15"/>
      <c r="F133" s="15" t="s">
        <v>1312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2"/>
      <c r="AU133" s="15"/>
      <c r="AV133" s="117" t="s">
        <v>1315</v>
      </c>
      <c r="AW133" s="33"/>
      <c r="AX133" s="14"/>
      <c r="AY133" s="14"/>
    </row>
    <row r="134" spans="1:51" ht="15.75" customHeight="1" x14ac:dyDescent="0.25">
      <c r="A134" s="31">
        <v>46211</v>
      </c>
      <c r="B134" s="12"/>
      <c r="C134" s="12"/>
      <c r="D134" s="12"/>
      <c r="E134" s="12"/>
      <c r="F134" s="12" t="s">
        <v>1317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U134" s="12"/>
      <c r="AV134" s="116" t="s">
        <v>1316</v>
      </c>
      <c r="AW134" s="32"/>
      <c r="AX134" s="14"/>
      <c r="AY134" s="14"/>
    </row>
    <row r="135" spans="1:51" ht="15.75" customHeight="1" x14ac:dyDescent="0.25">
      <c r="A135" s="31">
        <v>46211</v>
      </c>
      <c r="B135" s="15"/>
      <c r="C135" s="15"/>
      <c r="D135" s="15"/>
      <c r="E135" s="15"/>
      <c r="F135" s="15" t="s">
        <v>1319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17" t="s">
        <v>1321</v>
      </c>
      <c r="AW135" s="33"/>
      <c r="AX135" s="14"/>
      <c r="AY135" s="14"/>
    </row>
    <row r="136" spans="1:51" ht="15.75" customHeight="1" x14ac:dyDescent="0.25">
      <c r="A136" s="31">
        <v>46211</v>
      </c>
      <c r="B136" s="12"/>
      <c r="C136" s="12"/>
      <c r="D136" s="12"/>
      <c r="E136" s="12"/>
      <c r="F136" s="12" t="s">
        <v>1323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16" t="s">
        <v>1322</v>
      </c>
      <c r="AW136" s="32"/>
      <c r="AX136" s="14"/>
      <c r="AY136" s="14"/>
    </row>
    <row r="137" spans="1:51" ht="15.75" customHeight="1" x14ac:dyDescent="0.25">
      <c r="A137" s="161">
        <v>46211</v>
      </c>
      <c r="B137" s="42"/>
      <c r="C137" s="42"/>
      <c r="D137" s="42"/>
      <c r="E137" s="42"/>
      <c r="F137" s="42" t="s">
        <v>1325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162"/>
      <c r="AX137" s="14"/>
      <c r="AY137" s="14"/>
    </row>
    <row r="138" spans="1:51" s="164" customFormat="1" ht="15.75" customHeight="1" thickBot="1" x14ac:dyDescent="0.3">
      <c r="A138" s="16">
        <v>46211</v>
      </c>
      <c r="B138" s="17"/>
      <c r="C138" s="17"/>
      <c r="D138" s="17"/>
      <c r="E138" s="17"/>
      <c r="F138" s="17" t="s">
        <v>1326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63">
        <f t="shared" ref="AX138:AX165" si="8">IF(A138="","",IF(ISNUMBER(A138),MONTH(A138),IFERROR(VALUE(MID(A138,FIND(".",A138)+1,FIND(".",A138,FIND(".",A138)+1)-FIND(".",A138)-1)),"")))</f>
        <v>7</v>
      </c>
      <c r="AY138" s="163">
        <f t="shared" ref="AY138:AY165" si="9">IF(A138="","",IF(ISNUMBER(A138),YEAR(A138),IFERROR(VALUE(RIGHT(A138,4)),"")))</f>
        <v>2026</v>
      </c>
    </row>
    <row r="139" spans="1:51" s="165" customFormat="1" ht="15.75" customHeight="1" x14ac:dyDescent="0.25">
      <c r="A139" s="30">
        <v>46212</v>
      </c>
      <c r="B139" s="160"/>
      <c r="C139" s="160" t="s">
        <v>1353</v>
      </c>
      <c r="D139" s="160"/>
      <c r="E139" s="160" t="s">
        <v>1384</v>
      </c>
      <c r="F139" s="160" t="s">
        <v>1361</v>
      </c>
      <c r="G139" s="160"/>
      <c r="H139" s="160"/>
      <c r="I139" s="160" t="s">
        <v>1373</v>
      </c>
      <c r="J139" s="160"/>
      <c r="K139" s="160"/>
      <c r="L139" s="160"/>
      <c r="M139" s="160"/>
      <c r="N139" s="160"/>
      <c r="O139" s="160" t="s">
        <v>1359</v>
      </c>
      <c r="P139" s="160"/>
      <c r="Q139" s="160"/>
      <c r="R139" s="160"/>
      <c r="S139" s="160"/>
      <c r="T139" s="160"/>
      <c r="U139" s="160" t="s">
        <v>1352</v>
      </c>
      <c r="V139" s="160"/>
      <c r="W139" s="160" t="s">
        <v>1355</v>
      </c>
      <c r="X139" s="160" t="s">
        <v>1364</v>
      </c>
      <c r="Y139" s="160"/>
      <c r="Z139" s="160"/>
      <c r="AA139" s="160"/>
      <c r="AB139" s="160"/>
      <c r="AC139" s="160" t="s">
        <v>1377</v>
      </c>
      <c r="AD139" s="160"/>
      <c r="AE139" s="160" t="s">
        <v>1370</v>
      </c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 t="s">
        <v>1358</v>
      </c>
      <c r="AR139" s="160"/>
      <c r="AS139" s="160"/>
      <c r="AT139" s="160"/>
      <c r="AU139" s="160"/>
      <c r="AV139" s="173" t="s">
        <v>1349</v>
      </c>
      <c r="AW139" s="173" t="s">
        <v>1381</v>
      </c>
      <c r="AX139" s="43">
        <f t="shared" si="8"/>
        <v>7</v>
      </c>
      <c r="AY139" s="43">
        <f t="shared" si="9"/>
        <v>2026</v>
      </c>
    </row>
    <row r="140" spans="1:51" ht="15.75" customHeight="1" x14ac:dyDescent="0.25">
      <c r="A140" s="31">
        <v>46212</v>
      </c>
      <c r="B140" s="15"/>
      <c r="C140" s="15" t="s">
        <v>1380</v>
      </c>
      <c r="D140" s="15"/>
      <c r="E140" s="15"/>
      <c r="F140" s="15" t="s">
        <v>1371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 t="s">
        <v>1350</v>
      </c>
      <c r="V140" s="15"/>
      <c r="W140" s="15" t="s">
        <v>1369</v>
      </c>
      <c r="X140" s="15" t="s">
        <v>1366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 t="s">
        <v>1360</v>
      </c>
      <c r="AR140" s="15"/>
      <c r="AS140" s="15"/>
      <c r="AT140" s="15"/>
      <c r="AU140" s="15"/>
      <c r="AV140" s="117" t="s">
        <v>1356</v>
      </c>
      <c r="AW140" s="117" t="s">
        <v>1381</v>
      </c>
      <c r="AX140" s="14">
        <f t="shared" si="8"/>
        <v>7</v>
      </c>
      <c r="AY140" s="14">
        <f t="shared" si="9"/>
        <v>2026</v>
      </c>
    </row>
    <row r="141" spans="1:51" ht="15.75" customHeight="1" x14ac:dyDescent="0.25">
      <c r="A141" s="31">
        <v>46212</v>
      </c>
      <c r="B141" s="12"/>
      <c r="C141" s="12"/>
      <c r="D141" s="12"/>
      <c r="E141" s="12"/>
      <c r="F141" s="12" t="s">
        <v>1374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1357</v>
      </c>
      <c r="V141" s="12"/>
      <c r="W141" s="12"/>
      <c r="X141" s="12" t="s">
        <v>1378</v>
      </c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 t="s">
        <v>1368</v>
      </c>
      <c r="AR141" s="12"/>
      <c r="AS141" s="12"/>
      <c r="AT141" s="12"/>
      <c r="AU141" s="12"/>
      <c r="AV141" s="116"/>
      <c r="AW141" s="12"/>
      <c r="AX141" s="14">
        <f t="shared" si="8"/>
        <v>7</v>
      </c>
      <c r="AY141" s="14">
        <f t="shared" si="9"/>
        <v>2026</v>
      </c>
    </row>
    <row r="142" spans="1:51" ht="15.75" customHeight="1" x14ac:dyDescent="0.25">
      <c r="A142" s="31">
        <v>46212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 t="s">
        <v>1365</v>
      </c>
      <c r="V142" s="15"/>
      <c r="W142" s="15"/>
      <c r="X142" s="15" t="s">
        <v>1379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 t="s">
        <v>1376</v>
      </c>
      <c r="AR142" s="15"/>
      <c r="AS142" s="15"/>
      <c r="AT142" s="15"/>
      <c r="AU142" s="15"/>
      <c r="AV142" s="117" t="s">
        <v>1367</v>
      </c>
      <c r="AW142" s="15"/>
      <c r="AX142" s="14">
        <f t="shared" si="8"/>
        <v>7</v>
      </c>
      <c r="AY142" s="14">
        <f t="shared" si="9"/>
        <v>2026</v>
      </c>
    </row>
    <row r="143" spans="1:51" ht="15.75" customHeight="1" x14ac:dyDescent="0.25">
      <c r="A143" s="31">
        <v>46212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1375</v>
      </c>
      <c r="V143" s="12"/>
      <c r="W143" s="12"/>
      <c r="X143" s="12" t="s">
        <v>1382</v>
      </c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 t="s">
        <v>1385</v>
      </c>
      <c r="AR143" s="12"/>
      <c r="AS143" s="12"/>
      <c r="AT143" s="12"/>
      <c r="AU143" s="12"/>
      <c r="AV143" s="116" t="s">
        <v>1372</v>
      </c>
      <c r="AW143" s="12"/>
      <c r="AX143" s="14">
        <f t="shared" si="8"/>
        <v>7</v>
      </c>
      <c r="AY143" s="14">
        <f t="shared" si="9"/>
        <v>2026</v>
      </c>
    </row>
    <row r="144" spans="1:51" ht="15.75" customHeight="1" x14ac:dyDescent="0.25">
      <c r="A144" s="31">
        <v>46212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 t="s">
        <v>1362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17"/>
      <c r="AW144" s="15"/>
      <c r="AX144" s="14">
        <f t="shared" si="8"/>
        <v>7</v>
      </c>
      <c r="AY144" s="14">
        <f t="shared" si="9"/>
        <v>2026</v>
      </c>
    </row>
    <row r="145" spans="1:51" s="170" customFormat="1" ht="15.75" customHeight="1" thickBot="1" x14ac:dyDescent="0.3">
      <c r="A145" s="34">
        <v>46212</v>
      </c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154" t="s">
        <v>1390</v>
      </c>
      <c r="AW145" s="50"/>
      <c r="AX145" s="169">
        <f t="shared" si="8"/>
        <v>7</v>
      </c>
      <c r="AY145" s="169">
        <f t="shared" si="9"/>
        <v>2026</v>
      </c>
    </row>
    <row r="146" spans="1:51" ht="15.75" customHeight="1" x14ac:dyDescent="0.25">
      <c r="A146" s="28">
        <v>46213</v>
      </c>
      <c r="B146" s="37"/>
      <c r="C146" s="37" t="s">
        <v>1416</v>
      </c>
      <c r="D146" s="37"/>
      <c r="E146" s="37" t="s">
        <v>1430</v>
      </c>
      <c r="F146" s="37" t="s">
        <v>1421</v>
      </c>
      <c r="G146" s="37"/>
      <c r="H146" s="37"/>
      <c r="I146" s="37" t="s">
        <v>1418</v>
      </c>
      <c r="J146" s="37"/>
      <c r="K146" s="37"/>
      <c r="L146" s="37"/>
      <c r="M146" s="37"/>
      <c r="N146" s="37"/>
      <c r="O146" s="37" t="s">
        <v>1427</v>
      </c>
      <c r="P146" s="37"/>
      <c r="Q146" s="37"/>
      <c r="R146" s="37"/>
      <c r="S146" s="37"/>
      <c r="T146" s="37"/>
      <c r="U146" s="37"/>
      <c r="V146" s="37" t="s">
        <v>1409</v>
      </c>
      <c r="W146" s="37"/>
      <c r="X146" s="37" t="s">
        <v>1424</v>
      </c>
      <c r="Y146" s="37"/>
      <c r="Z146" s="37"/>
      <c r="AA146" s="37"/>
      <c r="AB146" s="37"/>
      <c r="AC146" s="171" t="s">
        <v>1209</v>
      </c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 t="s">
        <v>1429</v>
      </c>
      <c r="AR146" s="37"/>
      <c r="AS146" s="37"/>
      <c r="AT146" s="37"/>
      <c r="AU146" s="124" t="s">
        <v>1412</v>
      </c>
      <c r="AV146" s="124" t="s">
        <v>1415</v>
      </c>
      <c r="AW146" s="124" t="s">
        <v>1411</v>
      </c>
      <c r="AX146" s="14">
        <f t="shared" si="8"/>
        <v>7</v>
      </c>
      <c r="AY146" s="14">
        <f t="shared" si="9"/>
        <v>2026</v>
      </c>
    </row>
    <row r="147" spans="1:51" ht="15.75" customHeight="1" x14ac:dyDescent="0.25">
      <c r="A147" s="28">
        <v>46213</v>
      </c>
      <c r="B147" s="15"/>
      <c r="C147" s="15" t="s">
        <v>1428</v>
      </c>
      <c r="D147" s="15"/>
      <c r="E147" s="15"/>
      <c r="F147" s="15"/>
      <c r="G147" s="15"/>
      <c r="H147" s="15"/>
      <c r="I147" s="15" t="s">
        <v>1422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 t="s">
        <v>1413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 t="s">
        <v>1431</v>
      </c>
      <c r="AR147" s="15"/>
      <c r="AS147" s="15"/>
      <c r="AT147" s="15"/>
      <c r="AU147" s="117" t="s">
        <v>1425</v>
      </c>
      <c r="AV147" s="117" t="s">
        <v>1420</v>
      </c>
      <c r="AW147" s="15"/>
      <c r="AX147" s="14"/>
      <c r="AY147" s="14"/>
    </row>
    <row r="148" spans="1:51" ht="15.75" customHeight="1" x14ac:dyDescent="0.25">
      <c r="A148" s="11">
        <v>46213</v>
      </c>
      <c r="B148" s="12"/>
      <c r="C148" s="12"/>
      <c r="D148" s="12"/>
      <c r="E148" s="12"/>
      <c r="F148" s="12"/>
      <c r="G148" s="12"/>
      <c r="H148" s="12"/>
      <c r="I148" s="12" t="s">
        <v>1423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4">
        <f t="shared" si="8"/>
        <v>7</v>
      </c>
      <c r="AY148" s="14">
        <f t="shared" si="9"/>
        <v>2026</v>
      </c>
    </row>
    <row r="149" spans="1:51" ht="15.75" customHeight="1" thickBot="1" x14ac:dyDescent="0.3">
      <c r="A149" s="16">
        <v>46213</v>
      </c>
      <c r="B149" s="42"/>
      <c r="C149" s="42"/>
      <c r="D149" s="42"/>
      <c r="E149" s="42"/>
      <c r="F149" s="42"/>
      <c r="G149" s="42"/>
      <c r="H149" s="42"/>
      <c r="I149" s="42" t="s">
        <v>1426</v>
      </c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14">
        <f t="shared" si="8"/>
        <v>7</v>
      </c>
      <c r="AY149" s="14">
        <f t="shared" si="9"/>
        <v>2026</v>
      </c>
    </row>
    <row r="150" spans="1:51" s="105" customFormat="1" ht="15.75" customHeight="1" x14ac:dyDescent="0.25">
      <c r="A150" s="18">
        <v>46216</v>
      </c>
      <c r="B150" s="19"/>
      <c r="C150" s="19" t="s">
        <v>1511</v>
      </c>
      <c r="D150" s="19"/>
      <c r="E150" s="19"/>
      <c r="F150" s="19" t="s">
        <v>1476</v>
      </c>
      <c r="G150" s="19" t="s">
        <v>1486</v>
      </c>
      <c r="H150" s="19"/>
      <c r="I150" s="19" t="s">
        <v>1472</v>
      </c>
      <c r="J150" s="19"/>
      <c r="K150" s="19"/>
      <c r="L150" s="19"/>
      <c r="M150" s="19"/>
      <c r="N150" s="19"/>
      <c r="O150" s="19"/>
      <c r="P150" s="19"/>
      <c r="Q150" s="19" t="s">
        <v>1432</v>
      </c>
      <c r="R150" s="19"/>
      <c r="S150" s="19"/>
      <c r="T150" s="19"/>
      <c r="U150" s="19"/>
      <c r="V150" s="19"/>
      <c r="W150" s="19" t="s">
        <v>1482</v>
      </c>
      <c r="X150" s="19" t="s">
        <v>1510</v>
      </c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 t="s">
        <v>1465</v>
      </c>
      <c r="AR150" s="19"/>
      <c r="AS150" s="19"/>
      <c r="AT150" s="19"/>
      <c r="AU150" s="153" t="s">
        <v>1481</v>
      </c>
      <c r="AV150" s="153" t="s">
        <v>1475</v>
      </c>
      <c r="AW150" s="153" t="s">
        <v>1471</v>
      </c>
      <c r="AX150" s="104">
        <f t="shared" si="8"/>
        <v>7</v>
      </c>
      <c r="AY150" s="104">
        <f t="shared" si="9"/>
        <v>2026</v>
      </c>
    </row>
    <row r="151" spans="1:51" ht="15.75" customHeight="1" x14ac:dyDescent="0.25">
      <c r="A151" s="11">
        <v>46216</v>
      </c>
      <c r="B151" s="15"/>
      <c r="C151" s="15"/>
      <c r="D151" s="15"/>
      <c r="E151" s="15"/>
      <c r="F151" s="15" t="s">
        <v>1468</v>
      </c>
      <c r="G151" s="15"/>
      <c r="H151" s="15"/>
      <c r="I151" s="15" t="s">
        <v>1485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 t="s">
        <v>1513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 t="s">
        <v>1469</v>
      </c>
      <c r="AR151" s="15"/>
      <c r="AS151" s="15"/>
      <c r="AT151" s="15"/>
      <c r="AU151" s="117" t="s">
        <v>1506</v>
      </c>
      <c r="AV151" s="117" t="s">
        <v>1488</v>
      </c>
      <c r="AW151" s="117" t="s">
        <v>1505</v>
      </c>
      <c r="AX151" s="14">
        <f t="shared" si="8"/>
        <v>7</v>
      </c>
      <c r="AY151" s="14">
        <f t="shared" si="9"/>
        <v>2026</v>
      </c>
    </row>
    <row r="152" spans="1:51" ht="15.75" customHeight="1" x14ac:dyDescent="0.25">
      <c r="A152" s="11">
        <v>46216</v>
      </c>
      <c r="B152" s="12"/>
      <c r="C152" s="12"/>
      <c r="D152" s="12"/>
      <c r="E152" s="12"/>
      <c r="F152" s="12" t="s">
        <v>1478</v>
      </c>
      <c r="G152" s="12"/>
      <c r="H152" s="12"/>
      <c r="I152" s="12" t="s">
        <v>1487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 t="s">
        <v>1473</v>
      </c>
      <c r="AR152" s="12"/>
      <c r="AS152" s="12"/>
      <c r="AT152" s="12"/>
      <c r="AU152" s="12"/>
      <c r="AV152" s="12"/>
      <c r="AW152" s="116" t="s">
        <v>1507</v>
      </c>
      <c r="AX152" s="14">
        <f t="shared" si="8"/>
        <v>7</v>
      </c>
      <c r="AY152" s="14">
        <f t="shared" si="9"/>
        <v>2026</v>
      </c>
    </row>
    <row r="153" spans="1:51" ht="15.75" customHeight="1" x14ac:dyDescent="0.25">
      <c r="A153" s="11">
        <v>46216</v>
      </c>
      <c r="B153" s="15"/>
      <c r="C153" s="15"/>
      <c r="D153" s="15"/>
      <c r="E153" s="15"/>
      <c r="F153" s="15" t="s">
        <v>1490</v>
      </c>
      <c r="G153" s="15"/>
      <c r="H153" s="15"/>
      <c r="I153" s="15" t="s">
        <v>1491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 t="s">
        <v>1474</v>
      </c>
      <c r="AR153" s="15"/>
      <c r="AS153" s="15"/>
      <c r="AT153" s="15"/>
      <c r="AU153" s="15"/>
      <c r="AV153" s="15"/>
      <c r="AW153" s="15"/>
      <c r="AX153" s="14">
        <f t="shared" si="8"/>
        <v>7</v>
      </c>
      <c r="AY153" s="14">
        <f t="shared" si="9"/>
        <v>2026</v>
      </c>
    </row>
    <row r="154" spans="1:51" ht="15.75" customHeight="1" x14ac:dyDescent="0.25">
      <c r="A154" s="11">
        <v>46216</v>
      </c>
      <c r="B154" s="12"/>
      <c r="C154" s="12"/>
      <c r="D154" s="12"/>
      <c r="E154" s="12"/>
      <c r="F154" s="12" t="s">
        <v>1508</v>
      </c>
      <c r="G154" s="12"/>
      <c r="H154" s="12"/>
      <c r="I154" s="12" t="s">
        <v>1492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 t="s">
        <v>1489</v>
      </c>
      <c r="AR154" s="12"/>
      <c r="AS154" s="12"/>
      <c r="AT154" s="12"/>
      <c r="AU154" s="12"/>
      <c r="AV154" s="12"/>
      <c r="AW154" s="12"/>
      <c r="AX154" s="14">
        <f t="shared" si="8"/>
        <v>7</v>
      </c>
      <c r="AY154" s="14">
        <f t="shared" si="9"/>
        <v>2026</v>
      </c>
    </row>
    <row r="155" spans="1:51" ht="15.75" customHeight="1" x14ac:dyDescent="0.25">
      <c r="A155" s="11">
        <v>46216</v>
      </c>
      <c r="B155" s="15"/>
      <c r="C155" s="15"/>
      <c r="D155" s="15"/>
      <c r="E155" s="15"/>
      <c r="F155" s="15"/>
      <c r="G155" s="15"/>
      <c r="H155" s="15"/>
      <c r="I155" s="15" t="s">
        <v>1494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 t="s">
        <v>1503</v>
      </c>
      <c r="AR155" s="15"/>
      <c r="AS155" s="15"/>
      <c r="AT155" s="15"/>
      <c r="AU155" s="15"/>
      <c r="AV155" s="15"/>
      <c r="AW155" s="15"/>
      <c r="AX155" s="14">
        <f t="shared" si="8"/>
        <v>7</v>
      </c>
      <c r="AY155" s="14">
        <f t="shared" si="9"/>
        <v>2026</v>
      </c>
    </row>
    <row r="156" spans="1:51" ht="15.75" customHeight="1" x14ac:dyDescent="0.25">
      <c r="A156" s="11">
        <v>46216</v>
      </c>
      <c r="B156" s="12"/>
      <c r="C156" s="12"/>
      <c r="D156" s="12"/>
      <c r="E156" s="12"/>
      <c r="F156" s="12"/>
      <c r="G156" s="12"/>
      <c r="H156" s="12"/>
      <c r="I156" s="12" t="s">
        <v>1495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4">
        <f t="shared" si="8"/>
        <v>7</v>
      </c>
      <c r="AY156" s="14">
        <f t="shared" si="9"/>
        <v>2026</v>
      </c>
    </row>
    <row r="157" spans="1:51" ht="15.75" customHeight="1" x14ac:dyDescent="0.25">
      <c r="A157" s="11">
        <v>46216</v>
      </c>
      <c r="B157" s="15"/>
      <c r="C157" s="15"/>
      <c r="D157" s="15"/>
      <c r="E157" s="15"/>
      <c r="F157" s="15"/>
      <c r="G157" s="15"/>
      <c r="H157" s="15"/>
      <c r="I157" s="15" t="s">
        <v>1496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4">
        <f t="shared" si="8"/>
        <v>7</v>
      </c>
      <c r="AY157" s="14">
        <f t="shared" si="9"/>
        <v>2026</v>
      </c>
    </row>
    <row r="158" spans="1:51" ht="15.75" customHeight="1" x14ac:dyDescent="0.25">
      <c r="A158" s="11">
        <v>46216</v>
      </c>
      <c r="B158" s="12"/>
      <c r="C158" s="12"/>
      <c r="D158" s="12"/>
      <c r="E158" s="12"/>
      <c r="F158" s="12"/>
      <c r="G158" s="12"/>
      <c r="H158" s="12"/>
      <c r="I158" s="12" t="s">
        <v>1497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4">
        <f t="shared" si="8"/>
        <v>7</v>
      </c>
      <c r="AY158" s="14">
        <f t="shared" si="9"/>
        <v>2026</v>
      </c>
    </row>
    <row r="159" spans="1:51" ht="15.75" customHeight="1" x14ac:dyDescent="0.25">
      <c r="A159" s="11">
        <v>46216</v>
      </c>
      <c r="B159" s="15"/>
      <c r="C159" s="15"/>
      <c r="D159" s="15"/>
      <c r="E159" s="15"/>
      <c r="F159" s="15"/>
      <c r="G159" s="15"/>
      <c r="H159" s="15"/>
      <c r="I159" s="15" t="s">
        <v>1498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4">
        <f t="shared" si="8"/>
        <v>7</v>
      </c>
      <c r="AY159" s="14">
        <f t="shared" si="9"/>
        <v>2026</v>
      </c>
    </row>
    <row r="160" spans="1:51" ht="15.75" customHeight="1" x14ac:dyDescent="0.25">
      <c r="A160" s="11">
        <v>46216</v>
      </c>
      <c r="B160" s="12"/>
      <c r="C160" s="12"/>
      <c r="D160" s="12"/>
      <c r="E160" s="12"/>
      <c r="F160" s="12"/>
      <c r="G160" s="12"/>
      <c r="H160" s="12"/>
      <c r="I160" s="12" t="s">
        <v>1499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4">
        <f t="shared" si="8"/>
        <v>7</v>
      </c>
      <c r="AY160" s="14">
        <f t="shared" si="9"/>
        <v>2026</v>
      </c>
    </row>
    <row r="161" spans="1:51" ht="15.75" customHeight="1" x14ac:dyDescent="0.25">
      <c r="A161" s="11">
        <v>46216</v>
      </c>
      <c r="B161" s="15"/>
      <c r="C161" s="15"/>
      <c r="D161" s="15"/>
      <c r="E161" s="15"/>
      <c r="F161" s="15"/>
      <c r="G161" s="15"/>
      <c r="H161" s="15"/>
      <c r="I161" s="15" t="s">
        <v>1504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4">
        <f t="shared" si="8"/>
        <v>7</v>
      </c>
      <c r="AY161" s="14">
        <f t="shared" si="9"/>
        <v>2026</v>
      </c>
    </row>
    <row r="162" spans="1:51" s="103" customFormat="1" ht="15.75" customHeight="1" thickBot="1" x14ac:dyDescent="0.3">
      <c r="A162" s="101">
        <v>46216</v>
      </c>
      <c r="B162" s="102"/>
      <c r="C162" s="102"/>
      <c r="D162" s="102"/>
      <c r="E162" s="102"/>
      <c r="F162" s="102"/>
      <c r="G162" s="102"/>
      <c r="H162" s="102"/>
      <c r="I162" s="102" t="s">
        <v>1512</v>
      </c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26">
        <f t="shared" si="8"/>
        <v>7</v>
      </c>
      <c r="AY162" s="26">
        <f t="shared" si="9"/>
        <v>2026</v>
      </c>
    </row>
    <row r="163" spans="1:51" ht="15.75" customHeight="1" x14ac:dyDescent="0.25">
      <c r="A163" s="28">
        <v>46217</v>
      </c>
      <c r="B163" s="29"/>
      <c r="C163" s="29" t="s">
        <v>1538</v>
      </c>
      <c r="D163" s="29"/>
      <c r="E163" s="29"/>
      <c r="F163" s="29" t="s">
        <v>1550</v>
      </c>
      <c r="G163" s="29" t="s">
        <v>1530</v>
      </c>
      <c r="H163" s="29"/>
      <c r="I163" s="29" t="s">
        <v>1493</v>
      </c>
      <c r="J163" s="29"/>
      <c r="K163" s="29" t="s">
        <v>1540</v>
      </c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 t="s">
        <v>1477</v>
      </c>
      <c r="W163" s="29" t="s">
        <v>1483</v>
      </c>
      <c r="X163" s="29" t="s">
        <v>1534</v>
      </c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 t="s">
        <v>1541</v>
      </c>
      <c r="AQ163" s="29" t="s">
        <v>1509</v>
      </c>
      <c r="AR163" s="29"/>
      <c r="AS163" s="29"/>
      <c r="AT163" s="29" t="s">
        <v>1557</v>
      </c>
      <c r="AU163" s="29"/>
      <c r="AV163" s="121" t="s">
        <v>1539</v>
      </c>
      <c r="AW163" s="29"/>
      <c r="AX163" s="14">
        <f t="shared" si="8"/>
        <v>7</v>
      </c>
      <c r="AY163" s="14">
        <f t="shared" si="9"/>
        <v>2026</v>
      </c>
    </row>
    <row r="164" spans="1:51" ht="15.75" customHeight="1" x14ac:dyDescent="0.25">
      <c r="A164" s="11">
        <v>46217</v>
      </c>
      <c r="B164" s="12"/>
      <c r="C164" s="12"/>
      <c r="D164" s="12"/>
      <c r="E164" s="12"/>
      <c r="F164" s="12" t="s">
        <v>1558</v>
      </c>
      <c r="G164" s="12"/>
      <c r="H164" s="12"/>
      <c r="I164" s="12" t="s">
        <v>1547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 t="s">
        <v>1537</v>
      </c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 t="s">
        <v>1553</v>
      </c>
      <c r="AQ164" s="12" t="s">
        <v>1551</v>
      </c>
      <c r="AR164" s="12"/>
      <c r="AS164" s="12"/>
      <c r="AT164" s="12"/>
      <c r="AU164" s="12"/>
      <c r="AV164" s="12"/>
      <c r="AW164" s="12"/>
      <c r="AX164" s="14">
        <f t="shared" si="8"/>
        <v>7</v>
      </c>
      <c r="AY164" s="14">
        <f t="shared" si="9"/>
        <v>2026</v>
      </c>
    </row>
    <row r="165" spans="1:51" ht="15.75" customHeight="1" x14ac:dyDescent="0.25">
      <c r="A165" s="11">
        <v>46217</v>
      </c>
      <c r="B165" s="15"/>
      <c r="C165" s="15"/>
      <c r="D165" s="15"/>
      <c r="E165" s="15"/>
      <c r="F165" s="15"/>
      <c r="G165" s="15"/>
      <c r="H165" s="15"/>
      <c r="I165" s="15" t="s">
        <v>1502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 t="s">
        <v>1544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4">
        <f t="shared" si="8"/>
        <v>7</v>
      </c>
      <c r="AY165" s="14">
        <f t="shared" si="9"/>
        <v>2026</v>
      </c>
    </row>
    <row r="166" spans="1:51" ht="15.75" customHeight="1" thickBot="1" x14ac:dyDescent="0.3">
      <c r="A166" s="16">
        <v>46217</v>
      </c>
      <c r="B166" s="17"/>
      <c r="C166" s="17"/>
      <c r="D166" s="17"/>
      <c r="E166" s="17"/>
      <c r="F166" s="17"/>
      <c r="G166" s="17"/>
      <c r="H166" s="17"/>
      <c r="I166" s="17" t="s">
        <v>1555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4">
        <f t="shared" ref="AX166:AX197" si="10">IF(A166="","",IF(ISNUMBER(A166),MONTH(A166),IFERROR(VALUE(MID(A166,FIND(".",A166)+1,FIND(".",A166,FIND(".",A166)+1)-FIND(".",A166)-1)),"")))</f>
        <v>7</v>
      </c>
      <c r="AY166" s="14">
        <f t="shared" ref="AY166:AY197" si="11">IF(A166="","",IF(ISNUMBER(A166),YEAR(A166),IFERROR(VALUE(RIGHT(A166,4)),"")))</f>
        <v>2026</v>
      </c>
    </row>
    <row r="167" spans="1:51" s="105" customFormat="1" ht="15.75" customHeight="1" x14ac:dyDescent="0.25">
      <c r="A167" s="18">
        <v>46218</v>
      </c>
      <c r="B167" s="20"/>
      <c r="C167" s="20"/>
      <c r="D167" s="20"/>
      <c r="E167" s="20"/>
      <c r="F167" s="20"/>
      <c r="G167" s="20"/>
      <c r="H167" s="20"/>
      <c r="I167" s="20" t="s">
        <v>1584</v>
      </c>
      <c r="J167" s="20"/>
      <c r="K167" s="20"/>
      <c r="L167" s="20"/>
      <c r="M167" s="20"/>
      <c r="N167" s="20"/>
      <c r="O167" s="20" t="s">
        <v>1580</v>
      </c>
      <c r="P167" s="20"/>
      <c r="Q167" s="20"/>
      <c r="R167" s="20"/>
      <c r="S167" s="20"/>
      <c r="T167" s="20"/>
      <c r="U167" s="20"/>
      <c r="V167" s="20"/>
      <c r="W167" s="20"/>
      <c r="X167" s="20" t="s">
        <v>1597</v>
      </c>
      <c r="Y167" s="20"/>
      <c r="Z167" s="20"/>
      <c r="AA167" s="20"/>
      <c r="AB167" s="20"/>
      <c r="AC167" s="20" t="s">
        <v>1581</v>
      </c>
      <c r="AD167" s="20"/>
      <c r="AE167" s="20" t="s">
        <v>1605</v>
      </c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 t="s">
        <v>1603</v>
      </c>
      <c r="AQ167" s="20" t="s">
        <v>1536</v>
      </c>
      <c r="AR167" s="20"/>
      <c r="AS167" s="20"/>
      <c r="AT167" s="20"/>
      <c r="AU167" s="20"/>
      <c r="AV167" s="119" t="s">
        <v>1592</v>
      </c>
      <c r="AW167" s="119" t="s">
        <v>1596</v>
      </c>
      <c r="AX167" s="104">
        <f t="shared" si="10"/>
        <v>7</v>
      </c>
      <c r="AY167" s="104">
        <f t="shared" si="11"/>
        <v>2026</v>
      </c>
    </row>
    <row r="168" spans="1:51" ht="15.75" customHeight="1" x14ac:dyDescent="0.25">
      <c r="A168" s="11">
        <v>46218</v>
      </c>
      <c r="B168" s="12"/>
      <c r="C168" s="12"/>
      <c r="D168" s="12"/>
      <c r="E168" s="12"/>
      <c r="F168" s="12"/>
      <c r="G168" s="12"/>
      <c r="H168" s="12"/>
      <c r="I168" s="12" t="s">
        <v>1589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 t="s">
        <v>1599</v>
      </c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 t="s">
        <v>1587</v>
      </c>
      <c r="AR168" s="12"/>
      <c r="AS168" s="12"/>
      <c r="AT168" s="12"/>
      <c r="AU168" s="12"/>
      <c r="AV168" s="116" t="s">
        <v>1606</v>
      </c>
      <c r="AW168" s="12"/>
      <c r="AX168" s="14">
        <f t="shared" si="10"/>
        <v>7</v>
      </c>
      <c r="AY168" s="14">
        <f t="shared" si="11"/>
        <v>2026</v>
      </c>
    </row>
    <row r="169" spans="1:51" ht="15.75" customHeight="1" x14ac:dyDescent="0.25">
      <c r="A169" s="11">
        <v>46218</v>
      </c>
      <c r="B169" s="15"/>
      <c r="C169" s="15"/>
      <c r="D169" s="15"/>
      <c r="E169" s="15"/>
      <c r="F169" s="15"/>
      <c r="G169" s="15"/>
      <c r="H169" s="15"/>
      <c r="I169" s="15" t="s">
        <v>1595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4">
        <f t="shared" si="10"/>
        <v>7</v>
      </c>
      <c r="AY169" s="14">
        <f t="shared" si="11"/>
        <v>2026</v>
      </c>
    </row>
    <row r="170" spans="1:51" ht="15.75" customHeight="1" thickBot="1" x14ac:dyDescent="0.3">
      <c r="A170" s="16">
        <v>46218</v>
      </c>
      <c r="B170" s="17"/>
      <c r="C170" s="17"/>
      <c r="D170" s="17"/>
      <c r="E170" s="17"/>
      <c r="F170" s="17"/>
      <c r="G170" s="17"/>
      <c r="H170" s="17"/>
      <c r="I170" s="17" t="s">
        <v>1604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4">
        <f t="shared" si="10"/>
        <v>7</v>
      </c>
      <c r="AY170" s="14">
        <f t="shared" si="11"/>
        <v>2026</v>
      </c>
    </row>
    <row r="171" spans="1:51" s="105" customFormat="1" ht="15.75" customHeight="1" x14ac:dyDescent="0.25">
      <c r="A171" s="18">
        <v>46219</v>
      </c>
      <c r="B171" s="20"/>
      <c r="C171" s="20" t="s">
        <v>1633</v>
      </c>
      <c r="D171" s="20"/>
      <c r="E171" s="20"/>
      <c r="F171" s="20" t="s">
        <v>1625</v>
      </c>
      <c r="G171" s="20"/>
      <c r="H171" s="20"/>
      <c r="I171" s="20" t="s">
        <v>1635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 t="s">
        <v>1644</v>
      </c>
      <c r="Y171" s="20"/>
      <c r="Z171" s="20"/>
      <c r="AA171" s="20"/>
      <c r="AB171" s="20"/>
      <c r="AC171" s="20"/>
      <c r="AD171" s="20"/>
      <c r="AE171" s="20" t="s">
        <v>1634</v>
      </c>
      <c r="AF171" s="20" t="s">
        <v>1637</v>
      </c>
      <c r="AG171" s="20"/>
      <c r="AH171" s="20"/>
      <c r="AI171" s="20" t="s">
        <v>1628</v>
      </c>
      <c r="AJ171" s="20"/>
      <c r="AK171" s="20"/>
      <c r="AL171" s="20"/>
      <c r="AM171" s="20"/>
      <c r="AN171" s="20"/>
      <c r="AO171" s="20"/>
      <c r="AP171" s="20"/>
      <c r="AQ171" s="20" t="s">
        <v>1624</v>
      </c>
      <c r="AR171" s="20"/>
      <c r="AS171" s="20"/>
      <c r="AT171" s="20"/>
      <c r="AU171" s="20"/>
      <c r="AV171" s="119" t="s">
        <v>1627</v>
      </c>
      <c r="AW171" s="20"/>
      <c r="AX171" s="104">
        <f t="shared" si="10"/>
        <v>7</v>
      </c>
      <c r="AY171" s="104">
        <f t="shared" si="11"/>
        <v>2026</v>
      </c>
    </row>
    <row r="172" spans="1:51" ht="15.75" customHeight="1" x14ac:dyDescent="0.25">
      <c r="A172" s="11">
        <v>46219</v>
      </c>
      <c r="B172" s="12"/>
      <c r="C172" s="12"/>
      <c r="D172" s="12"/>
      <c r="E172" s="12"/>
      <c r="F172" s="12" t="s">
        <v>1631</v>
      </c>
      <c r="G172" s="12"/>
      <c r="H172" s="12"/>
      <c r="I172" s="12" t="s">
        <v>1643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 t="s">
        <v>1640</v>
      </c>
      <c r="AR172" s="12"/>
      <c r="AS172" s="12"/>
      <c r="AT172" s="12"/>
      <c r="AU172" s="12"/>
      <c r="AV172" s="116" t="s">
        <v>1632</v>
      </c>
      <c r="AW172" s="12"/>
      <c r="AX172" s="14">
        <f t="shared" si="10"/>
        <v>7</v>
      </c>
      <c r="AY172" s="14">
        <f t="shared" si="11"/>
        <v>2026</v>
      </c>
    </row>
    <row r="173" spans="1:51" ht="15.75" customHeight="1" x14ac:dyDescent="0.25">
      <c r="A173" s="11">
        <v>46219</v>
      </c>
      <c r="B173" s="15"/>
      <c r="C173" s="15"/>
      <c r="D173" s="15"/>
      <c r="E173" s="15"/>
      <c r="F173" s="15" t="s">
        <v>1638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W173" s="15"/>
      <c r="AX173" s="14">
        <f t="shared" si="10"/>
        <v>7</v>
      </c>
      <c r="AY173" s="14">
        <f t="shared" si="11"/>
        <v>2026</v>
      </c>
    </row>
    <row r="174" spans="1:51" ht="15.75" customHeight="1" x14ac:dyDescent="0.25">
      <c r="A174" s="11">
        <v>46219</v>
      </c>
      <c r="B174" s="12"/>
      <c r="C174" s="12"/>
      <c r="D174" s="12"/>
      <c r="E174" s="12"/>
      <c r="F174" s="12" t="s">
        <v>1641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4">
        <f t="shared" si="10"/>
        <v>7</v>
      </c>
      <c r="AY174" s="14">
        <f t="shared" si="11"/>
        <v>2026</v>
      </c>
    </row>
    <row r="175" spans="1:51" ht="15.75" customHeight="1" x14ac:dyDescent="0.25">
      <c r="A175" s="11">
        <v>46219</v>
      </c>
      <c r="B175" s="15"/>
      <c r="C175" s="15"/>
      <c r="D175" s="15"/>
      <c r="E175" s="15"/>
      <c r="F175" s="15" t="s">
        <v>1642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4">
        <f t="shared" si="10"/>
        <v>7</v>
      </c>
      <c r="AY175" s="14">
        <f t="shared" si="11"/>
        <v>2026</v>
      </c>
    </row>
    <row r="176" spans="1:51" ht="15.75" customHeight="1" x14ac:dyDescent="0.25">
      <c r="A176" s="11">
        <v>46219</v>
      </c>
      <c r="B176" s="12"/>
      <c r="C176" s="12"/>
      <c r="D176" s="12"/>
      <c r="E176" s="12"/>
      <c r="F176" s="12" t="s">
        <v>1645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4">
        <f t="shared" si="10"/>
        <v>7</v>
      </c>
      <c r="AY176" s="14">
        <f t="shared" si="11"/>
        <v>2026</v>
      </c>
    </row>
    <row r="177" spans="1:51" s="103" customFormat="1" ht="15.75" customHeight="1" thickBot="1" x14ac:dyDescent="0.3">
      <c r="A177" s="101">
        <v>46219</v>
      </c>
      <c r="B177" s="126"/>
      <c r="C177" s="126"/>
      <c r="D177" s="126"/>
      <c r="E177" s="126"/>
      <c r="F177" s="126" t="s">
        <v>1646</v>
      </c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26">
        <f t="shared" si="10"/>
        <v>7</v>
      </c>
      <c r="AY177" s="26">
        <f t="shared" si="11"/>
        <v>2026</v>
      </c>
    </row>
    <row r="178" spans="1:51" ht="15.75" customHeight="1" x14ac:dyDescent="0.25">
      <c r="A178" s="28">
        <v>46220</v>
      </c>
      <c r="B178" s="37"/>
      <c r="C178" s="37" t="s">
        <v>1668</v>
      </c>
      <c r="D178" s="37"/>
      <c r="E178" s="37"/>
      <c r="F178" s="37" t="s">
        <v>1667</v>
      </c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 t="s">
        <v>1661</v>
      </c>
      <c r="Y178" s="37"/>
      <c r="Z178" s="37"/>
      <c r="AA178" s="37"/>
      <c r="AB178" s="37"/>
      <c r="AC178" s="37"/>
      <c r="AD178" s="37"/>
      <c r="AE178" s="37" t="s">
        <v>1673</v>
      </c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 t="s">
        <v>1665</v>
      </c>
      <c r="AQ178" s="37" t="s">
        <v>1670</v>
      </c>
      <c r="AR178" s="37"/>
      <c r="AS178" s="37"/>
      <c r="AT178" s="37"/>
      <c r="AU178" s="124" t="s">
        <v>1677</v>
      </c>
      <c r="AV178" s="124" t="s">
        <v>1663</v>
      </c>
      <c r="AW178" s="124" t="s">
        <v>1666</v>
      </c>
      <c r="AX178" s="14">
        <f t="shared" si="10"/>
        <v>7</v>
      </c>
      <c r="AY178" s="14">
        <f t="shared" si="11"/>
        <v>2026</v>
      </c>
    </row>
    <row r="179" spans="1:51" ht="15.75" customHeight="1" x14ac:dyDescent="0.25">
      <c r="A179" s="11">
        <v>46220</v>
      </c>
      <c r="B179" s="15"/>
      <c r="C179" s="15" t="s">
        <v>1669</v>
      </c>
      <c r="D179" s="15"/>
      <c r="E179" s="15"/>
      <c r="F179" s="15" t="s">
        <v>1682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 t="s">
        <v>1671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 t="s">
        <v>1622</v>
      </c>
      <c r="AR179" s="15"/>
      <c r="AS179" s="15"/>
      <c r="AT179" s="15"/>
      <c r="AU179" s="174"/>
      <c r="AV179" s="117" t="s">
        <v>1664</v>
      </c>
      <c r="AW179" s="117" t="s">
        <v>1680</v>
      </c>
      <c r="AX179" s="14">
        <f t="shared" si="10"/>
        <v>7</v>
      </c>
      <c r="AY179" s="14">
        <f t="shared" si="11"/>
        <v>2026</v>
      </c>
    </row>
    <row r="180" spans="1:51" ht="15.75" customHeight="1" x14ac:dyDescent="0.25">
      <c r="A180" s="11">
        <v>46220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 t="s">
        <v>1676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 t="s">
        <v>1672</v>
      </c>
      <c r="AR180" s="12"/>
      <c r="AS180" s="12"/>
      <c r="AT180" s="12"/>
      <c r="AU180" s="175"/>
      <c r="AV180" s="175"/>
      <c r="AW180" s="175"/>
      <c r="AX180" s="14">
        <f t="shared" si="10"/>
        <v>7</v>
      </c>
      <c r="AY180" s="14">
        <f t="shared" si="11"/>
        <v>2026</v>
      </c>
    </row>
    <row r="181" spans="1:51" s="103" customFormat="1" ht="15.75" customHeight="1" thickBot="1" x14ac:dyDescent="0.3">
      <c r="A181" s="101">
        <v>46220</v>
      </c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 t="s">
        <v>1672</v>
      </c>
      <c r="AR181" s="126"/>
      <c r="AS181" s="126"/>
      <c r="AT181" s="126"/>
      <c r="AU181" s="126"/>
      <c r="AV181" s="126"/>
      <c r="AW181" s="126"/>
      <c r="AX181" s="26">
        <f t="shared" si="10"/>
        <v>7</v>
      </c>
      <c r="AY181" s="26">
        <f t="shared" si="11"/>
        <v>2026</v>
      </c>
    </row>
    <row r="182" spans="1:51" ht="15.75" customHeight="1" x14ac:dyDescent="0.25">
      <c r="A182" s="28">
        <v>46223</v>
      </c>
      <c r="B182" s="37"/>
      <c r="C182" s="37" t="s">
        <v>1707</v>
      </c>
      <c r="D182" s="37"/>
      <c r="E182" s="37"/>
      <c r="F182" s="37" t="s">
        <v>1701</v>
      </c>
      <c r="G182" s="37"/>
      <c r="H182" s="37"/>
      <c r="I182" s="37" t="s">
        <v>1714</v>
      </c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 t="s">
        <v>1699</v>
      </c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 t="s">
        <v>1709</v>
      </c>
      <c r="AR182" s="37"/>
      <c r="AS182" s="37" t="s">
        <v>1708</v>
      </c>
      <c r="AT182" s="37"/>
      <c r="AU182" s="37"/>
      <c r="AV182" s="124" t="s">
        <v>1694</v>
      </c>
      <c r="AW182" s="124" t="s">
        <v>1697</v>
      </c>
      <c r="AX182" s="14">
        <f t="shared" si="10"/>
        <v>7</v>
      </c>
      <c r="AY182" s="14">
        <f t="shared" si="11"/>
        <v>2026</v>
      </c>
    </row>
    <row r="183" spans="1:51" ht="15.75" customHeight="1" x14ac:dyDescent="0.25">
      <c r="A183" s="11">
        <v>46223</v>
      </c>
      <c r="B183" s="15"/>
      <c r="C183" s="15" t="s">
        <v>1716</v>
      </c>
      <c r="D183" s="15"/>
      <c r="E183" s="15"/>
      <c r="F183" s="15" t="s">
        <v>1705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 t="s">
        <v>1712</v>
      </c>
      <c r="AR183" s="15"/>
      <c r="AS183" s="15" t="s">
        <v>1717</v>
      </c>
      <c r="AT183" s="15"/>
      <c r="AU183" s="15"/>
      <c r="AV183" s="117" t="s">
        <v>1695</v>
      </c>
      <c r="AW183" s="117" t="s">
        <v>1698</v>
      </c>
      <c r="AX183" s="14">
        <f t="shared" si="10"/>
        <v>7</v>
      </c>
      <c r="AY183" s="14">
        <f t="shared" si="11"/>
        <v>2026</v>
      </c>
    </row>
    <row r="184" spans="1:51" ht="15.75" customHeight="1" x14ac:dyDescent="0.25">
      <c r="A184" s="11">
        <v>46223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 t="s">
        <v>1718</v>
      </c>
      <c r="AR184" s="12"/>
      <c r="AS184" s="12"/>
      <c r="AT184" s="12"/>
      <c r="AU184" s="12"/>
      <c r="AV184" s="116" t="s">
        <v>1696</v>
      </c>
      <c r="AW184" s="116" t="s">
        <v>1706</v>
      </c>
      <c r="AX184" s="14">
        <f t="shared" si="10"/>
        <v>7</v>
      </c>
      <c r="AY184" s="14">
        <f t="shared" si="11"/>
        <v>2026</v>
      </c>
    </row>
    <row r="185" spans="1:51" ht="15.75" customHeight="1" x14ac:dyDescent="0.25">
      <c r="A185" s="11">
        <v>46223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17" t="s">
        <v>1702</v>
      </c>
      <c r="AW185" s="15"/>
      <c r="AX185" s="14">
        <f t="shared" si="10"/>
        <v>7</v>
      </c>
      <c r="AY185" s="14">
        <f t="shared" si="11"/>
        <v>2026</v>
      </c>
    </row>
    <row r="186" spans="1:51" ht="15.75" customHeight="1" x14ac:dyDescent="0.25">
      <c r="A186" s="11">
        <v>46223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16" t="s">
        <v>1704</v>
      </c>
      <c r="AW186" s="12"/>
      <c r="AX186" s="14">
        <f t="shared" si="10"/>
        <v>7</v>
      </c>
      <c r="AY186" s="14">
        <f t="shared" si="11"/>
        <v>2026</v>
      </c>
    </row>
    <row r="187" spans="1:51" ht="15.75" customHeight="1" thickBot="1" x14ac:dyDescent="0.3">
      <c r="A187" s="16">
        <v>46223</v>
      </c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152" t="s">
        <v>1715</v>
      </c>
      <c r="AW187" s="42"/>
      <c r="AX187" s="14">
        <f t="shared" si="10"/>
        <v>7</v>
      </c>
      <c r="AY187" s="14">
        <f t="shared" si="11"/>
        <v>2026</v>
      </c>
    </row>
    <row r="188" spans="1:51" s="105" customFormat="1" ht="15.75" customHeight="1" x14ac:dyDescent="0.25">
      <c r="A188" s="18">
        <v>46224</v>
      </c>
      <c r="B188" s="19" t="s">
        <v>1754</v>
      </c>
      <c r="C188" s="19" t="s">
        <v>1746</v>
      </c>
      <c r="D188" s="19"/>
      <c r="E188" s="19"/>
      <c r="F188" s="19" t="s">
        <v>1753</v>
      </c>
      <c r="G188" s="19"/>
      <c r="H188" s="19"/>
      <c r="I188" s="19" t="s">
        <v>1741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 t="s">
        <v>1745</v>
      </c>
      <c r="Y188" s="19"/>
      <c r="Z188" s="19"/>
      <c r="AA188" s="19"/>
      <c r="AB188" s="19"/>
      <c r="AC188" s="19" t="s">
        <v>1748</v>
      </c>
      <c r="AD188" s="19"/>
      <c r="AE188" s="19" t="s">
        <v>1756</v>
      </c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 t="s">
        <v>1747</v>
      </c>
      <c r="AR188" s="19"/>
      <c r="AS188" s="19"/>
      <c r="AT188" s="19"/>
      <c r="AU188" s="19"/>
      <c r="AV188" s="153" t="s">
        <v>1749</v>
      </c>
      <c r="AW188" s="19"/>
      <c r="AX188" s="104">
        <f t="shared" si="10"/>
        <v>7</v>
      </c>
      <c r="AY188" s="104">
        <f t="shared" si="11"/>
        <v>2026</v>
      </c>
    </row>
    <row r="189" spans="1:51" ht="15.75" customHeight="1" x14ac:dyDescent="0.25">
      <c r="A189" s="11">
        <v>46224</v>
      </c>
      <c r="B189" s="15"/>
      <c r="C189" s="15" t="s">
        <v>1752</v>
      </c>
      <c r="D189" s="15"/>
      <c r="E189" s="15"/>
      <c r="F189" s="15" t="s">
        <v>1772</v>
      </c>
      <c r="G189" s="15"/>
      <c r="H189" s="15"/>
      <c r="I189" s="15" t="s">
        <v>1758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 t="s">
        <v>1760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 t="s">
        <v>1766</v>
      </c>
      <c r="AR189" s="15"/>
      <c r="AS189" s="15"/>
      <c r="AT189" s="15"/>
      <c r="AU189" s="15"/>
      <c r="AV189" s="117" t="s">
        <v>1751</v>
      </c>
      <c r="AW189" s="15"/>
      <c r="AX189" s="14">
        <f t="shared" si="10"/>
        <v>7</v>
      </c>
      <c r="AY189" s="14">
        <f t="shared" si="11"/>
        <v>2026</v>
      </c>
    </row>
    <row r="190" spans="1:51" ht="15.75" customHeight="1" x14ac:dyDescent="0.25">
      <c r="A190" s="11">
        <v>46224</v>
      </c>
      <c r="B190" s="12"/>
      <c r="C190" s="12" t="s">
        <v>1773</v>
      </c>
      <c r="D190" s="12"/>
      <c r="E190" s="12"/>
      <c r="F190" s="12"/>
      <c r="G190" s="12"/>
      <c r="H190" s="12"/>
      <c r="I190" s="12" t="s">
        <v>1762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 t="s">
        <v>1768</v>
      </c>
      <c r="AR190" s="12"/>
      <c r="AS190" s="12"/>
      <c r="AT190" s="12"/>
      <c r="AU190" s="12"/>
      <c r="AV190" s="116" t="s">
        <v>1755</v>
      </c>
      <c r="AW190" s="12"/>
      <c r="AX190" s="14">
        <f t="shared" si="10"/>
        <v>7</v>
      </c>
      <c r="AY190" s="14">
        <f t="shared" si="11"/>
        <v>2026</v>
      </c>
    </row>
    <row r="191" spans="1:51" ht="15.75" customHeight="1" x14ac:dyDescent="0.25">
      <c r="A191" s="11">
        <v>46224</v>
      </c>
      <c r="B191" s="15"/>
      <c r="C191" s="15"/>
      <c r="D191" s="15"/>
      <c r="E191" s="15"/>
      <c r="F191" s="15"/>
      <c r="G191" s="15"/>
      <c r="H191" s="15"/>
      <c r="I191" s="15" t="s">
        <v>1764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17" t="s">
        <v>1763</v>
      </c>
      <c r="AW191" s="15"/>
      <c r="AX191" s="14">
        <f t="shared" si="10"/>
        <v>7</v>
      </c>
      <c r="AY191" s="14">
        <f t="shared" si="11"/>
        <v>2026</v>
      </c>
    </row>
    <row r="192" spans="1:51" ht="15.75" customHeight="1" x14ac:dyDescent="0.25">
      <c r="A192" s="11">
        <v>46224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16" t="s">
        <v>1769</v>
      </c>
      <c r="AW192" s="12"/>
      <c r="AX192" s="14">
        <f t="shared" si="10"/>
        <v>7</v>
      </c>
      <c r="AY192" s="14">
        <f t="shared" si="11"/>
        <v>2026</v>
      </c>
    </row>
    <row r="193" spans="1:51" ht="15.75" customHeight="1" x14ac:dyDescent="0.25">
      <c r="A193" s="11">
        <v>46224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17" t="s">
        <v>1770</v>
      </c>
      <c r="AW193" s="15"/>
      <c r="AX193" s="14">
        <f t="shared" si="10"/>
        <v>7</v>
      </c>
      <c r="AY193" s="14">
        <f t="shared" si="11"/>
        <v>2026</v>
      </c>
    </row>
    <row r="194" spans="1:51" s="103" customFormat="1" ht="15.75" customHeight="1" thickBot="1" x14ac:dyDescent="0.3">
      <c r="A194" s="101">
        <v>46224</v>
      </c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25" t="s">
        <v>1774</v>
      </c>
      <c r="AW194" s="102"/>
      <c r="AX194" s="26">
        <f t="shared" si="10"/>
        <v>7</v>
      </c>
      <c r="AY194" s="26">
        <f t="shared" si="11"/>
        <v>2026</v>
      </c>
    </row>
    <row r="195" spans="1:51" ht="15.75" customHeight="1" x14ac:dyDescent="0.25">
      <c r="A195" s="28">
        <v>46225</v>
      </c>
      <c r="B195" s="29"/>
      <c r="C195" s="29" t="s">
        <v>1795</v>
      </c>
      <c r="D195" s="29"/>
      <c r="E195" s="29"/>
      <c r="F195" s="29" t="s">
        <v>1767</v>
      </c>
      <c r="G195" s="29"/>
      <c r="H195" s="29"/>
      <c r="I195" s="29" t="s">
        <v>1810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 t="s">
        <v>1800</v>
      </c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 t="s">
        <v>1803</v>
      </c>
      <c r="AQ195" s="29"/>
      <c r="AR195" s="29"/>
      <c r="AS195" s="29" t="s">
        <v>1802</v>
      </c>
      <c r="AT195" s="29" t="s">
        <v>1809</v>
      </c>
      <c r="AU195" s="29"/>
      <c r="AV195" s="121" t="s">
        <v>1797</v>
      </c>
      <c r="AW195" s="121" t="s">
        <v>1804</v>
      </c>
      <c r="AX195" s="14">
        <f t="shared" si="10"/>
        <v>7</v>
      </c>
      <c r="AY195" s="14">
        <f t="shared" si="11"/>
        <v>2026</v>
      </c>
    </row>
    <row r="196" spans="1:51" ht="15.75" customHeight="1" x14ac:dyDescent="0.25">
      <c r="A196" s="11">
        <v>46225</v>
      </c>
      <c r="B196" s="12"/>
      <c r="C196" s="12"/>
      <c r="D196" s="12"/>
      <c r="E196" s="12"/>
      <c r="F196" s="12" t="s">
        <v>1796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16" t="s">
        <v>1798</v>
      </c>
      <c r="AW196" s="12"/>
      <c r="AX196" s="14">
        <f t="shared" si="10"/>
        <v>7</v>
      </c>
      <c r="AY196" s="14">
        <f t="shared" si="11"/>
        <v>2026</v>
      </c>
    </row>
    <row r="197" spans="1:51" ht="15.75" customHeight="1" x14ac:dyDescent="0.25">
      <c r="A197" s="11">
        <v>46225</v>
      </c>
      <c r="B197" s="15"/>
      <c r="C197" s="15"/>
      <c r="D197" s="15"/>
      <c r="E197" s="15"/>
      <c r="F197" s="15" t="s">
        <v>1806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17" t="s">
        <v>1799</v>
      </c>
      <c r="AW197" s="15"/>
      <c r="AX197" s="14">
        <f t="shared" si="10"/>
        <v>7</v>
      </c>
      <c r="AY197" s="14">
        <f t="shared" si="11"/>
        <v>2026</v>
      </c>
    </row>
    <row r="198" spans="1:51" s="103" customFormat="1" ht="15.75" customHeight="1" thickBot="1" x14ac:dyDescent="0.3">
      <c r="A198" s="101">
        <v>46225</v>
      </c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25" t="s">
        <v>1807</v>
      </c>
      <c r="AW198" s="102"/>
      <c r="AX198" s="26">
        <f t="shared" ref="AX198:AX205" si="12">IF(A198="","",IF(ISNUMBER(A198),MONTH(A198),IFERROR(VALUE(MID(A198,FIND(".",A198)+1,FIND(".",A198,FIND(".",A198)+1)-FIND(".",A198)-1)),"")))</f>
        <v>7</v>
      </c>
      <c r="AY198" s="26">
        <f t="shared" ref="AY198:AY205" si="13">IF(A198="","",IF(ISNUMBER(A198),YEAR(A198),IFERROR(VALUE(RIGHT(A198,4)),"")))</f>
        <v>2026</v>
      </c>
    </row>
    <row r="199" spans="1:51" s="179" customFormat="1" ht="15.75" customHeight="1" thickBot="1" x14ac:dyDescent="0.3">
      <c r="A199" s="176">
        <v>46226</v>
      </c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77"/>
      <c r="AT199" s="177"/>
      <c r="AU199" s="177"/>
      <c r="AV199" s="181" t="s">
        <v>1824</v>
      </c>
      <c r="AW199" s="177"/>
      <c r="AX199" s="178">
        <f t="shared" si="12"/>
        <v>7</v>
      </c>
      <c r="AY199" s="178">
        <f t="shared" si="13"/>
        <v>2026</v>
      </c>
    </row>
    <row r="200" spans="1:51" ht="15.75" customHeight="1" x14ac:dyDescent="0.25">
      <c r="A200" s="28">
        <v>46227</v>
      </c>
      <c r="B200" s="37"/>
      <c r="C200" s="37" t="s">
        <v>1897</v>
      </c>
      <c r="D200" s="37"/>
      <c r="E200" s="37"/>
      <c r="F200" s="37" t="s">
        <v>1907</v>
      </c>
      <c r="G200" s="37" t="s">
        <v>1848</v>
      </c>
      <c r="H200" s="37"/>
      <c r="I200" s="37" t="s">
        <v>1856</v>
      </c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 t="s">
        <v>1910</v>
      </c>
      <c r="W200" s="37" t="s">
        <v>1854</v>
      </c>
      <c r="X200" s="37" t="s">
        <v>1857</v>
      </c>
      <c r="Y200" s="37"/>
      <c r="Z200" s="37"/>
      <c r="AA200" s="37"/>
      <c r="AB200" s="37"/>
      <c r="AC200" s="37"/>
      <c r="AD200" s="37"/>
      <c r="AE200" s="37" t="s">
        <v>1859</v>
      </c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 t="s">
        <v>1870</v>
      </c>
      <c r="AQ200" s="37" t="s">
        <v>1881</v>
      </c>
      <c r="AR200" s="37"/>
      <c r="AS200" s="37"/>
      <c r="AT200" s="37"/>
      <c r="AU200" s="37"/>
      <c r="AV200" s="124" t="s">
        <v>1858</v>
      </c>
      <c r="AW200" s="124" t="s">
        <v>1895</v>
      </c>
      <c r="AX200" s="14">
        <f t="shared" si="12"/>
        <v>7</v>
      </c>
      <c r="AY200" s="14">
        <f t="shared" si="13"/>
        <v>2026</v>
      </c>
    </row>
    <row r="201" spans="1:51" ht="15.75" customHeight="1" x14ac:dyDescent="0.25">
      <c r="A201" s="11">
        <v>46227</v>
      </c>
      <c r="B201" s="15"/>
      <c r="C201" s="15" t="s">
        <v>1902</v>
      </c>
      <c r="D201" s="15"/>
      <c r="E201" s="15"/>
      <c r="F201" s="15"/>
      <c r="G201" s="15" t="s">
        <v>1852</v>
      </c>
      <c r="H201" s="15"/>
      <c r="I201" s="15" t="s">
        <v>1864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 t="s">
        <v>1889</v>
      </c>
      <c r="X201" s="15"/>
      <c r="Y201" s="15"/>
      <c r="Z201" s="15"/>
      <c r="AA201" s="15"/>
      <c r="AB201" s="15"/>
      <c r="AC201" s="15"/>
      <c r="AD201" s="15"/>
      <c r="AE201" s="15" t="s">
        <v>1862</v>
      </c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 t="s">
        <v>1913</v>
      </c>
      <c r="AR201" s="15"/>
      <c r="AS201" s="15"/>
      <c r="AT201" s="15"/>
      <c r="AU201" s="15"/>
      <c r="AV201" s="15"/>
      <c r="AW201" s="117" t="s">
        <v>1898</v>
      </c>
      <c r="AX201" s="14">
        <f t="shared" si="12"/>
        <v>7</v>
      </c>
      <c r="AY201" s="14">
        <f t="shared" si="13"/>
        <v>2026</v>
      </c>
    </row>
    <row r="202" spans="1:51" ht="15.75" customHeight="1" x14ac:dyDescent="0.25">
      <c r="A202" s="11">
        <v>46227</v>
      </c>
      <c r="B202" s="12"/>
      <c r="C202" s="12"/>
      <c r="D202" s="12"/>
      <c r="E202" s="12"/>
      <c r="F202" s="12"/>
      <c r="G202" s="12" t="s">
        <v>1878</v>
      </c>
      <c r="H202" s="12"/>
      <c r="I202" s="12" t="s">
        <v>1866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 t="s">
        <v>1890</v>
      </c>
      <c r="X202" s="12"/>
      <c r="Y202" s="12"/>
      <c r="Z202" s="12"/>
      <c r="AA202" s="12"/>
      <c r="AB202" s="12"/>
      <c r="AC202" s="12"/>
      <c r="AD202" s="12"/>
      <c r="AE202" s="12" t="s">
        <v>1863</v>
      </c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16" t="s">
        <v>1906</v>
      </c>
      <c r="AX202" s="14">
        <f t="shared" si="12"/>
        <v>7</v>
      </c>
      <c r="AY202" s="14">
        <f t="shared" si="13"/>
        <v>2026</v>
      </c>
    </row>
    <row r="203" spans="1:51" ht="15.75" customHeight="1" x14ac:dyDescent="0.25">
      <c r="A203" s="11">
        <v>46227</v>
      </c>
      <c r="B203" s="15"/>
      <c r="C203" s="15"/>
      <c r="D203" s="15"/>
      <c r="E203" s="15"/>
      <c r="F203" s="15"/>
      <c r="G203" s="15" t="s">
        <v>1901</v>
      </c>
      <c r="H203" s="15"/>
      <c r="I203" s="15" t="s">
        <v>1869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 t="s">
        <v>1882</v>
      </c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17" t="s">
        <v>1908</v>
      </c>
      <c r="AX203" s="14">
        <f t="shared" si="12"/>
        <v>7</v>
      </c>
      <c r="AY203" s="14">
        <f t="shared" si="13"/>
        <v>2026</v>
      </c>
    </row>
    <row r="204" spans="1:51" ht="15.75" customHeight="1" x14ac:dyDescent="0.25">
      <c r="A204" s="11">
        <v>46227</v>
      </c>
      <c r="B204" s="12"/>
      <c r="C204" s="12"/>
      <c r="D204" s="12"/>
      <c r="E204" s="12"/>
      <c r="F204" s="12"/>
      <c r="G204" s="12" t="s">
        <v>1905</v>
      </c>
      <c r="H204" s="12"/>
      <c r="I204" s="12" t="s">
        <v>1871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 t="s">
        <v>1885</v>
      </c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4">
        <f t="shared" si="12"/>
        <v>7</v>
      </c>
      <c r="AY204" s="14">
        <f t="shared" si="13"/>
        <v>2026</v>
      </c>
    </row>
    <row r="205" spans="1:51" ht="15.75" customHeight="1" x14ac:dyDescent="0.25">
      <c r="A205" s="11">
        <v>46227</v>
      </c>
      <c r="B205" s="15"/>
      <c r="C205" s="15"/>
      <c r="D205" s="15"/>
      <c r="E205" s="15"/>
      <c r="F205" s="15"/>
      <c r="G205" s="15" t="s">
        <v>1909</v>
      </c>
      <c r="H205" s="15"/>
      <c r="I205" s="15" t="s">
        <v>1875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 t="s">
        <v>1917</v>
      </c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4">
        <f t="shared" si="12"/>
        <v>7</v>
      </c>
      <c r="AY205" s="14">
        <f t="shared" si="13"/>
        <v>2026</v>
      </c>
    </row>
    <row r="206" spans="1:51" ht="24" x14ac:dyDescent="0.25">
      <c r="A206" s="11">
        <v>46227</v>
      </c>
      <c r="B206" s="12"/>
      <c r="C206" s="12"/>
      <c r="D206" s="12"/>
      <c r="E206" s="12"/>
      <c r="F206" s="12"/>
      <c r="G206" s="12"/>
      <c r="H206" s="12"/>
      <c r="I206" s="12" t="s">
        <v>1883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51" x14ac:dyDescent="0.25">
      <c r="A207" s="11">
        <v>46227</v>
      </c>
      <c r="B207" s="15"/>
      <c r="C207" s="15"/>
      <c r="D207" s="15"/>
      <c r="E207" s="15"/>
      <c r="F207" s="15"/>
      <c r="G207" s="15"/>
      <c r="H207" s="15"/>
      <c r="I207" s="15" t="s">
        <v>1884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 spans="1:51" ht="24" x14ac:dyDescent="0.25">
      <c r="A208" s="11">
        <v>46227</v>
      </c>
      <c r="B208" s="12"/>
      <c r="C208" s="12"/>
      <c r="D208" s="12"/>
      <c r="E208" s="12"/>
      <c r="F208" s="12"/>
      <c r="G208" s="12"/>
      <c r="H208" s="12"/>
      <c r="I208" s="12" t="s">
        <v>1887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51" x14ac:dyDescent="0.25">
      <c r="A209" s="11">
        <v>46227</v>
      </c>
      <c r="B209" s="15"/>
      <c r="C209" s="15"/>
      <c r="D209" s="15"/>
      <c r="E209" s="15"/>
      <c r="F209" s="15"/>
      <c r="G209" s="15"/>
      <c r="H209" s="15"/>
      <c r="I209" s="15" t="s">
        <v>1904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spans="1:51" x14ac:dyDescent="0.25">
      <c r="A210" s="11">
        <v>46227</v>
      </c>
      <c r="B210" s="12"/>
      <c r="C210" s="12"/>
      <c r="D210" s="12"/>
      <c r="E210" s="12"/>
      <c r="F210" s="12"/>
      <c r="G210" s="12"/>
      <c r="H210" s="12"/>
      <c r="I210" s="12" t="s">
        <v>1904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51" x14ac:dyDescent="0.25">
      <c r="A211" s="11">
        <v>46227</v>
      </c>
      <c r="B211" s="15"/>
      <c r="C211" s="15"/>
      <c r="D211" s="15"/>
      <c r="E211" s="15"/>
      <c r="F211" s="15"/>
      <c r="G211" s="15"/>
      <c r="H211" s="15"/>
      <c r="I211" s="15" t="s">
        <v>1911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 spans="1:51" x14ac:dyDescent="0.25">
      <c r="A212" s="11">
        <v>46227</v>
      </c>
      <c r="B212" s="12"/>
      <c r="C212" s="12"/>
      <c r="D212" s="12"/>
      <c r="E212" s="12"/>
      <c r="F212" s="12"/>
      <c r="G212" s="12"/>
      <c r="H212" s="12"/>
      <c r="I212" s="12" t="s">
        <v>1912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51" x14ac:dyDescent="0.25">
      <c r="A213" s="11">
        <v>46227</v>
      </c>
      <c r="B213" s="15"/>
      <c r="C213" s="15"/>
      <c r="D213" s="15"/>
      <c r="E213" s="15"/>
      <c r="F213" s="15"/>
      <c r="G213" s="15"/>
      <c r="H213" s="15"/>
      <c r="I213" s="15" t="s">
        <v>1916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 spans="1:51" s="103" customFormat="1" ht="15.75" thickBot="1" x14ac:dyDescent="0.3">
      <c r="A214" s="101">
        <v>46227</v>
      </c>
      <c r="B214" s="102"/>
      <c r="C214" s="102"/>
      <c r="D214" s="102"/>
      <c r="E214" s="102"/>
      <c r="F214" s="102"/>
      <c r="G214" s="102"/>
      <c r="H214" s="102"/>
      <c r="I214" s="102" t="s">
        <v>1919</v>
      </c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42"/>
      <c r="AX214" s="27"/>
      <c r="AY214" s="27"/>
    </row>
    <row r="215" spans="1:51" ht="36" x14ac:dyDescent="0.25">
      <c r="A215" s="28">
        <v>46230</v>
      </c>
      <c r="B215" s="12"/>
      <c r="C215" s="12" t="s">
        <v>1993</v>
      </c>
      <c r="D215" s="12"/>
      <c r="E215" s="12"/>
      <c r="F215" s="12" t="s">
        <v>1948</v>
      </c>
      <c r="G215" s="12"/>
      <c r="H215" s="12"/>
      <c r="I215" s="12" t="s">
        <v>1937</v>
      </c>
      <c r="J215" s="12"/>
      <c r="K215" s="12"/>
      <c r="L215" s="12"/>
      <c r="M215" s="12"/>
      <c r="N215" s="12" t="s">
        <v>2005</v>
      </c>
      <c r="O215" s="12"/>
      <c r="P215" s="12"/>
      <c r="Q215" s="12"/>
      <c r="R215" s="12"/>
      <c r="S215" s="12"/>
      <c r="T215" s="12"/>
      <c r="U215" s="12"/>
      <c r="V215" s="12"/>
      <c r="W215" s="12" t="s">
        <v>1938</v>
      </c>
      <c r="X215" s="12" t="s">
        <v>1960</v>
      </c>
      <c r="Y215" s="12"/>
      <c r="Z215" s="12"/>
      <c r="AA215" s="12"/>
      <c r="AB215" s="12"/>
      <c r="AC215" s="12" t="s">
        <v>1855</v>
      </c>
      <c r="AD215" s="12"/>
      <c r="AE215" s="12" t="s">
        <v>2024</v>
      </c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 t="s">
        <v>1949</v>
      </c>
      <c r="AR215" s="12"/>
      <c r="AS215" s="12"/>
      <c r="AT215" s="12" t="s">
        <v>1976</v>
      </c>
      <c r="AU215" s="12"/>
      <c r="AV215" s="116" t="s">
        <v>1942</v>
      </c>
      <c r="AW215" s="12"/>
    </row>
    <row r="216" spans="1:51" ht="36" x14ac:dyDescent="0.25">
      <c r="A216" s="11">
        <v>46230</v>
      </c>
      <c r="B216" s="12"/>
      <c r="C216" s="12" t="s">
        <v>2004</v>
      </c>
      <c r="D216" s="12"/>
      <c r="E216" s="12"/>
      <c r="F216" s="12" t="s">
        <v>1943</v>
      </c>
      <c r="G216" s="12"/>
      <c r="H216" s="12"/>
      <c r="I216" s="12" t="s">
        <v>1977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 t="s">
        <v>1972</v>
      </c>
      <c r="X216" s="12" t="s">
        <v>1899</v>
      </c>
      <c r="Y216" s="12"/>
      <c r="Z216" s="12"/>
      <c r="AA216" s="12"/>
      <c r="AB216" s="12"/>
      <c r="AC216" s="12" t="s">
        <v>1997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 t="s">
        <v>2026</v>
      </c>
      <c r="AR216" s="12"/>
      <c r="AS216" s="12"/>
      <c r="AT216" s="12" t="s">
        <v>1989</v>
      </c>
      <c r="AU216" s="12"/>
      <c r="AV216" s="116" t="s">
        <v>1944</v>
      </c>
      <c r="AW216" s="12"/>
    </row>
    <row r="217" spans="1:51" ht="36" x14ac:dyDescent="0.25">
      <c r="A217" s="11">
        <v>46230</v>
      </c>
      <c r="B217" s="12"/>
      <c r="C217" s="12"/>
      <c r="D217" s="12"/>
      <c r="E217" s="12"/>
      <c r="F217" s="12"/>
      <c r="G217" s="12"/>
      <c r="H217" s="12"/>
      <c r="I217" s="12" t="s">
        <v>1979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 t="s">
        <v>1903</v>
      </c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 t="s">
        <v>2011</v>
      </c>
      <c r="AU217" s="12"/>
      <c r="AV217" s="116" t="s">
        <v>1945</v>
      </c>
      <c r="AW217" s="12"/>
    </row>
    <row r="218" spans="1:51" ht="36" x14ac:dyDescent="0.25">
      <c r="A218" s="11">
        <v>46230</v>
      </c>
      <c r="B218" s="12"/>
      <c r="C218" s="12"/>
      <c r="D218" s="12"/>
      <c r="E218" s="12"/>
      <c r="F218" s="12"/>
      <c r="G218" s="12"/>
      <c r="H218" s="12"/>
      <c r="I218" s="12" t="s">
        <v>1992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 t="s">
        <v>2020</v>
      </c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16" t="s">
        <v>1955</v>
      </c>
      <c r="AW218" s="12"/>
    </row>
    <row r="219" spans="1:51" ht="36" x14ac:dyDescent="0.25">
      <c r="A219" s="11">
        <v>46230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16" t="s">
        <v>1947</v>
      </c>
      <c r="AW219" s="12"/>
    </row>
    <row r="220" spans="1:51" ht="36" x14ac:dyDescent="0.25">
      <c r="A220" s="11">
        <v>46230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16" t="s">
        <v>1949</v>
      </c>
      <c r="AW220" s="12"/>
    </row>
    <row r="221" spans="1:51" ht="36" x14ac:dyDescent="0.25">
      <c r="A221" s="11">
        <v>46230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16" t="s">
        <v>1950</v>
      </c>
      <c r="AW221" s="12"/>
    </row>
    <row r="222" spans="1:51" ht="36" x14ac:dyDescent="0.25">
      <c r="A222" s="11">
        <v>46230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51" t="s">
        <v>1951</v>
      </c>
      <c r="AW222" s="15"/>
    </row>
    <row r="223" spans="1:51" ht="36" x14ac:dyDescent="0.25">
      <c r="A223" s="11">
        <v>46230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17" t="s">
        <v>1956</v>
      </c>
      <c r="AW223" s="15"/>
    </row>
    <row r="224" spans="1:51" ht="36" x14ac:dyDescent="0.25">
      <c r="A224" s="11">
        <v>46230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16" t="s">
        <v>1961</v>
      </c>
      <c r="AW224" s="12"/>
    </row>
    <row r="225" spans="1:49" ht="36" x14ac:dyDescent="0.25">
      <c r="A225" s="11">
        <v>46230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17" t="s">
        <v>1964</v>
      </c>
      <c r="AW225" s="15"/>
    </row>
    <row r="226" spans="1:49" ht="36" x14ac:dyDescent="0.25">
      <c r="A226" s="11">
        <v>46230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16" t="s">
        <v>1967</v>
      </c>
      <c r="AW226" s="12"/>
    </row>
    <row r="227" spans="1:49" ht="36" x14ac:dyDescent="0.25">
      <c r="A227" s="11">
        <v>46230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17" t="s">
        <v>1968</v>
      </c>
      <c r="AW227" s="15"/>
    </row>
    <row r="228" spans="1:49" ht="36" x14ac:dyDescent="0.25">
      <c r="A228" s="11">
        <v>46230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16" t="s">
        <v>1970</v>
      </c>
      <c r="AW228" s="12"/>
    </row>
    <row r="229" spans="1:49" ht="36" x14ac:dyDescent="0.25">
      <c r="A229" s="11">
        <v>46230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17" t="s">
        <v>1973</v>
      </c>
      <c r="AW229" s="15"/>
    </row>
    <row r="230" spans="1:49" ht="36" x14ac:dyDescent="0.25">
      <c r="A230" s="11">
        <v>46230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16" t="s">
        <v>1974</v>
      </c>
      <c r="AW230" s="12"/>
    </row>
    <row r="231" spans="1:49" ht="36" x14ac:dyDescent="0.25">
      <c r="A231" s="11">
        <v>46230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17" t="s">
        <v>1982</v>
      </c>
      <c r="AW231" s="15"/>
    </row>
    <row r="232" spans="1:49" ht="36" x14ac:dyDescent="0.25">
      <c r="A232" s="11">
        <v>46230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16" t="s">
        <v>1987</v>
      </c>
      <c r="AW232" s="15"/>
    </row>
    <row r="233" spans="1:49" ht="36" x14ac:dyDescent="0.25">
      <c r="A233" s="11">
        <v>46230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17" t="s">
        <v>1988</v>
      </c>
      <c r="AW233" s="12"/>
    </row>
    <row r="234" spans="1:49" ht="36" x14ac:dyDescent="0.25">
      <c r="A234" s="11">
        <v>46230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16" t="s">
        <v>1990</v>
      </c>
      <c r="AW234" s="15"/>
    </row>
    <row r="235" spans="1:49" ht="36" x14ac:dyDescent="0.25">
      <c r="A235" s="11">
        <v>46230</v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17" t="s">
        <v>1994</v>
      </c>
      <c r="AW235" s="12"/>
    </row>
    <row r="236" spans="1:49" ht="36" x14ac:dyDescent="0.25">
      <c r="A236" s="11">
        <v>46230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16" t="s">
        <v>1994</v>
      </c>
      <c r="AW236" s="15"/>
    </row>
    <row r="237" spans="1:49" ht="36" x14ac:dyDescent="0.25">
      <c r="A237" s="11">
        <v>46230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17" t="s">
        <v>2000</v>
      </c>
      <c r="AW237" s="12"/>
    </row>
    <row r="238" spans="1:49" ht="36" x14ac:dyDescent="0.25">
      <c r="A238" s="11">
        <v>46230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16" t="s">
        <v>2001</v>
      </c>
      <c r="AW238" s="15"/>
    </row>
    <row r="239" spans="1:49" ht="36" x14ac:dyDescent="0.25">
      <c r="A239" s="11">
        <v>46230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17" t="s">
        <v>2009</v>
      </c>
      <c r="AW239" s="12"/>
    </row>
    <row r="240" spans="1:49" ht="36" x14ac:dyDescent="0.25">
      <c r="A240" s="11">
        <v>46230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16" t="s">
        <v>2015</v>
      </c>
      <c r="AW240" s="15"/>
    </row>
    <row r="241" spans="1:53" ht="36" x14ac:dyDescent="0.25">
      <c r="A241" s="11">
        <v>46230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17" t="s">
        <v>2016</v>
      </c>
      <c r="AW241" s="15"/>
    </row>
    <row r="242" spans="1:53" ht="36" x14ac:dyDescent="0.25">
      <c r="A242" s="11">
        <v>46230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16" t="s">
        <v>2018</v>
      </c>
      <c r="AW242" s="12"/>
    </row>
    <row r="243" spans="1:53" ht="36" x14ac:dyDescent="0.25">
      <c r="A243" s="11">
        <v>46230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17" t="s">
        <v>2027</v>
      </c>
      <c r="AW243" s="15"/>
    </row>
    <row r="244" spans="1:53" ht="36" x14ac:dyDescent="0.25">
      <c r="A244" s="11">
        <v>46230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16" t="s">
        <v>2029</v>
      </c>
      <c r="AW244" s="12"/>
    </row>
    <row r="245" spans="1:53" ht="36.75" thickBot="1" x14ac:dyDescent="0.3">
      <c r="A245" s="16">
        <v>46230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152" t="s">
        <v>2032</v>
      </c>
      <c r="AW245" s="42"/>
    </row>
    <row r="246" spans="1:53" s="105" customFormat="1" ht="36" x14ac:dyDescent="0.25">
      <c r="A246" s="18">
        <v>46231</v>
      </c>
      <c r="B246" s="19"/>
      <c r="C246" s="19" t="s">
        <v>2061</v>
      </c>
      <c r="D246" s="19"/>
      <c r="E246" s="19"/>
      <c r="F246" s="19" t="s">
        <v>2069</v>
      </c>
      <c r="G246" s="19" t="s">
        <v>2003</v>
      </c>
      <c r="H246" s="19"/>
      <c r="I246" s="19" t="s">
        <v>2063</v>
      </c>
      <c r="J246" s="19"/>
      <c r="K246" s="19"/>
      <c r="L246" s="19"/>
      <c r="M246" s="19"/>
      <c r="N246" s="19"/>
      <c r="O246" s="19"/>
      <c r="P246" s="19"/>
      <c r="Q246" s="19" t="s">
        <v>239</v>
      </c>
      <c r="R246" s="19"/>
      <c r="S246" s="19"/>
      <c r="T246" s="19"/>
      <c r="U246" s="19"/>
      <c r="V246" s="19"/>
      <c r="W246" s="19" t="s">
        <v>2070</v>
      </c>
      <c r="X246" s="19" t="s">
        <v>2049</v>
      </c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 t="s">
        <v>2074</v>
      </c>
      <c r="AR246" s="19"/>
      <c r="AS246" s="19"/>
      <c r="AT246" s="19"/>
      <c r="AU246" s="153" t="s">
        <v>2068</v>
      </c>
      <c r="AV246" s="153" t="s">
        <v>2057</v>
      </c>
      <c r="AW246" s="153" t="s">
        <v>2055</v>
      </c>
      <c r="AX246" s="180"/>
      <c r="AY246" s="180"/>
      <c r="BA246" s="182" t="s">
        <v>2122</v>
      </c>
    </row>
    <row r="247" spans="1:53" ht="36" x14ac:dyDescent="0.25">
      <c r="A247" s="11">
        <v>46231</v>
      </c>
      <c r="B247" s="15"/>
      <c r="C247" s="15" t="s">
        <v>2067</v>
      </c>
      <c r="D247" s="15"/>
      <c r="E247" s="15"/>
      <c r="F247" s="15"/>
      <c r="G247" s="15"/>
      <c r="H247" s="15"/>
      <c r="I247" s="15" t="s">
        <v>2076</v>
      </c>
      <c r="J247" s="15"/>
      <c r="K247" s="15"/>
      <c r="L247" s="15"/>
      <c r="M247" s="15"/>
      <c r="N247" s="15"/>
      <c r="O247" s="15"/>
      <c r="P247" s="15"/>
      <c r="Q247" s="15" t="s">
        <v>2072</v>
      </c>
      <c r="R247" s="15"/>
      <c r="S247" s="15"/>
      <c r="T247" s="15"/>
      <c r="U247" s="15"/>
      <c r="V247" s="15"/>
      <c r="W247" s="15"/>
      <c r="X247" s="15" t="s">
        <v>2051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17" t="s">
        <v>2065</v>
      </c>
      <c r="AW247" s="15"/>
    </row>
    <row r="248" spans="1:53" ht="36" x14ac:dyDescent="0.25">
      <c r="A248" s="11">
        <v>46231</v>
      </c>
      <c r="B248" s="12"/>
      <c r="C248" s="12" t="s">
        <v>2071</v>
      </c>
      <c r="D248" s="12"/>
      <c r="E248" s="12"/>
      <c r="F248" s="12"/>
      <c r="G248" s="12"/>
      <c r="H248" s="12"/>
      <c r="I248" s="12" t="s">
        <v>2077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 t="s">
        <v>2058</v>
      </c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53" s="103" customFormat="1" ht="36.75" thickBot="1" x14ac:dyDescent="0.3">
      <c r="A249" s="101">
        <v>46231</v>
      </c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 t="s">
        <v>2079</v>
      </c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27"/>
      <c r="AY249" s="27"/>
    </row>
    <row r="250" spans="1:53" ht="36" x14ac:dyDescent="0.25">
      <c r="A250" s="28">
        <v>46232</v>
      </c>
      <c r="B250" s="37"/>
      <c r="C250" s="37"/>
      <c r="D250" s="37"/>
      <c r="E250" s="37"/>
      <c r="F250" s="37" t="s">
        <v>2112</v>
      </c>
      <c r="G250" s="37"/>
      <c r="H250" s="37"/>
      <c r="I250" s="37" t="s">
        <v>2007</v>
      </c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 t="s">
        <v>2111</v>
      </c>
      <c r="X250" s="37" t="s">
        <v>2097</v>
      </c>
      <c r="Y250" s="37"/>
      <c r="Z250" s="37"/>
      <c r="AA250" s="37"/>
      <c r="AB250" s="37"/>
      <c r="AC250" s="37" t="s">
        <v>2109</v>
      </c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U250" s="37"/>
      <c r="AV250" s="124" t="s">
        <v>2098</v>
      </c>
      <c r="AW250" s="121" t="s">
        <v>2104</v>
      </c>
    </row>
    <row r="251" spans="1:53" ht="36" x14ac:dyDescent="0.25">
      <c r="A251" s="11">
        <v>46232</v>
      </c>
      <c r="B251" s="15"/>
      <c r="C251" s="15"/>
      <c r="D251" s="15"/>
      <c r="E251" s="15"/>
      <c r="F251" s="15"/>
      <c r="G251" s="15"/>
      <c r="H251" s="15"/>
      <c r="I251" s="15" t="s">
        <v>2100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17" t="s">
        <v>2105</v>
      </c>
      <c r="AW251" s="12"/>
    </row>
    <row r="252" spans="1:53" ht="36" x14ac:dyDescent="0.25">
      <c r="A252" s="11">
        <v>46232</v>
      </c>
      <c r="B252" s="12"/>
      <c r="C252" s="12"/>
      <c r="D252" s="12"/>
      <c r="E252" s="12"/>
      <c r="F252" s="12"/>
      <c r="G252" s="12"/>
      <c r="H252" s="12"/>
      <c r="I252" s="15" t="s">
        <v>2102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16" t="s">
        <v>2106</v>
      </c>
      <c r="AW252" s="15"/>
    </row>
    <row r="253" spans="1:53" ht="36" x14ac:dyDescent="0.25">
      <c r="A253" s="11">
        <v>46232</v>
      </c>
      <c r="B253" s="15"/>
      <c r="C253" s="15"/>
      <c r="D253" s="15"/>
      <c r="E253" s="15"/>
      <c r="F253" s="15"/>
      <c r="G253" s="15"/>
      <c r="H253" s="15"/>
      <c r="I253" s="46" t="s">
        <v>2048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17" t="s">
        <v>1849</v>
      </c>
      <c r="AW253" s="12"/>
    </row>
    <row r="254" spans="1:53" x14ac:dyDescent="0.25">
      <c r="A254" s="11">
        <v>46232</v>
      </c>
      <c r="B254" s="12"/>
      <c r="C254" s="12"/>
      <c r="D254" s="12"/>
      <c r="E254" s="12"/>
      <c r="F254" s="12"/>
      <c r="G254" s="12"/>
      <c r="H254" s="12"/>
      <c r="I254" s="12" t="s">
        <v>2107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5"/>
    </row>
    <row r="255" spans="1:53" s="103" customFormat="1" ht="15.75" thickBot="1" x14ac:dyDescent="0.3">
      <c r="A255" s="101">
        <v>46232</v>
      </c>
      <c r="B255" s="126"/>
      <c r="C255" s="126"/>
      <c r="D255" s="126"/>
      <c r="E255" s="126"/>
      <c r="F255" s="126"/>
      <c r="G255" s="126"/>
      <c r="H255" s="126"/>
      <c r="I255" s="126" t="s">
        <v>2108</v>
      </c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02"/>
      <c r="AX255" s="27"/>
      <c r="AY255" s="27"/>
    </row>
    <row r="256" spans="1:53" ht="36" x14ac:dyDescent="0.25">
      <c r="A256" s="28">
        <v>46233</v>
      </c>
      <c r="B256" s="37"/>
      <c r="C256" s="37" t="s">
        <v>2127</v>
      </c>
      <c r="D256" s="37"/>
      <c r="E256" s="37"/>
      <c r="F256" s="37"/>
      <c r="G256" s="37"/>
      <c r="H256" s="37"/>
      <c r="I256" s="37" t="s">
        <v>2125</v>
      </c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 t="s">
        <v>2119</v>
      </c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 t="s">
        <v>2128</v>
      </c>
      <c r="AR256" s="37"/>
      <c r="AS256" s="37"/>
      <c r="AT256" s="37"/>
      <c r="AU256" s="37"/>
      <c r="AV256" s="124" t="s">
        <v>2120</v>
      </c>
      <c r="AW256" s="121" t="s">
        <v>2121</v>
      </c>
    </row>
    <row r="257" spans="1:52" s="103" customFormat="1" ht="36.75" thickBot="1" x14ac:dyDescent="0.3">
      <c r="A257" s="101">
        <v>46233</v>
      </c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50" t="s">
        <v>2124</v>
      </c>
      <c r="AW257" s="102"/>
      <c r="AX257" s="27"/>
      <c r="AY257" s="27"/>
    </row>
    <row r="258" spans="1:52" s="179" customFormat="1" ht="36.75" thickBot="1" x14ac:dyDescent="0.3">
      <c r="A258" s="176">
        <v>46234</v>
      </c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 t="s">
        <v>2131</v>
      </c>
      <c r="X258" s="184" t="s">
        <v>2126</v>
      </c>
      <c r="Y258" s="184"/>
      <c r="Z258" s="184"/>
      <c r="AA258" s="184"/>
      <c r="AB258" s="184"/>
      <c r="AC258" s="184"/>
      <c r="AD258" s="184"/>
      <c r="AE258" s="184"/>
      <c r="AF258" s="184"/>
      <c r="AG258" s="184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 t="s">
        <v>2130</v>
      </c>
      <c r="AR258" s="184"/>
      <c r="AS258" s="184"/>
      <c r="AT258" s="184"/>
      <c r="AU258" s="184"/>
      <c r="AV258" s="184"/>
      <c r="AW258" s="177"/>
      <c r="AX258" s="185"/>
      <c r="AY258" s="185"/>
    </row>
    <row r="259" spans="1:52" ht="36.75" thickBot="1" x14ac:dyDescent="0.3">
      <c r="A259" s="45">
        <v>46237</v>
      </c>
      <c r="B259" s="46"/>
      <c r="C259" s="46" t="s">
        <v>2144</v>
      </c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 t="s">
        <v>2143</v>
      </c>
      <c r="AT259" s="46"/>
      <c r="AU259" s="46"/>
      <c r="AV259" s="186" t="s">
        <v>2140</v>
      </c>
      <c r="AW259" s="186" t="s">
        <v>2137</v>
      </c>
    </row>
    <row r="260" spans="1:52" s="105" customFormat="1" ht="36" x14ac:dyDescent="0.25">
      <c r="A260" s="18">
        <v>46238</v>
      </c>
      <c r="B260" s="19"/>
      <c r="C260" s="19" t="s">
        <v>2147</v>
      </c>
      <c r="D260" s="19"/>
      <c r="E260" s="19"/>
      <c r="F260" s="19"/>
      <c r="G260" s="19"/>
      <c r="H260" s="19"/>
      <c r="I260" s="19" t="s">
        <v>2145</v>
      </c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 t="s">
        <v>2148</v>
      </c>
      <c r="AT260" s="19"/>
      <c r="AU260" s="19"/>
      <c r="AV260" s="153" t="s">
        <v>2146</v>
      </c>
      <c r="AW260" s="19"/>
      <c r="AX260" s="180"/>
      <c r="AY260" s="180"/>
    </row>
    <row r="261" spans="1:52" ht="24.75" thickBot="1" x14ac:dyDescent="0.3">
      <c r="A261" s="16">
        <v>46238</v>
      </c>
      <c r="B261" s="42"/>
      <c r="C261" s="42"/>
      <c r="D261" s="42"/>
      <c r="E261" s="42"/>
      <c r="F261" s="42"/>
      <c r="G261" s="42"/>
      <c r="H261" s="42"/>
      <c r="I261" s="42" t="s">
        <v>2149</v>
      </c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</row>
    <row r="262" spans="1:52" s="179" customFormat="1" ht="36.75" thickBot="1" x14ac:dyDescent="0.3">
      <c r="A262" s="176">
        <v>46239</v>
      </c>
      <c r="B262" s="184"/>
      <c r="C262" s="184"/>
      <c r="D262" s="184"/>
      <c r="E262" s="184"/>
      <c r="F262" s="184"/>
      <c r="G262" s="184"/>
      <c r="H262" s="184"/>
      <c r="I262" s="184" t="s">
        <v>2150</v>
      </c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  <c r="AC262" s="184"/>
      <c r="AD262" s="184"/>
      <c r="AE262" s="184"/>
      <c r="AF262" s="184"/>
      <c r="AG262" s="184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4"/>
      <c r="AR262" s="184"/>
      <c r="AS262" s="184"/>
      <c r="AT262" s="184"/>
      <c r="AU262" s="184"/>
      <c r="AV262" s="187" t="s">
        <v>2152</v>
      </c>
      <c r="AW262" s="184"/>
      <c r="AX262" s="185"/>
      <c r="AY262" s="185"/>
    </row>
    <row r="263" spans="1:52" ht="36" x14ac:dyDescent="0.25">
      <c r="A263" s="28">
        <v>46240</v>
      </c>
      <c r="B263" s="29"/>
      <c r="C263" s="29" t="s">
        <v>2160</v>
      </c>
      <c r="D263" s="29"/>
      <c r="E263" s="29"/>
      <c r="F263" s="29" t="s">
        <v>2163</v>
      </c>
      <c r="G263" s="29" t="s">
        <v>2165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121" t="s">
        <v>2155</v>
      </c>
      <c r="AW263" s="29"/>
    </row>
    <row r="264" spans="1:52" s="103" customFormat="1" ht="36.75" thickBot="1" x14ac:dyDescent="0.3">
      <c r="A264" s="101">
        <v>46240</v>
      </c>
      <c r="B264" s="102"/>
      <c r="C264" s="102" t="s">
        <v>2162</v>
      </c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25" t="s">
        <v>2164</v>
      </c>
      <c r="AW264" s="102"/>
      <c r="AX264" s="27"/>
      <c r="AY264" s="27"/>
    </row>
    <row r="265" spans="1:52" ht="24" x14ac:dyDescent="0.25">
      <c r="A265" s="28">
        <v>46241</v>
      </c>
      <c r="B265" s="29"/>
      <c r="C265" s="29"/>
      <c r="D265" s="29"/>
      <c r="E265" s="29"/>
      <c r="F265" s="29"/>
      <c r="G265" s="29"/>
      <c r="H265" s="29"/>
      <c r="I265" s="29" t="s">
        <v>2166</v>
      </c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</row>
    <row r="266" spans="1:52" s="103" customFormat="1" ht="15.75" thickBot="1" x14ac:dyDescent="0.3">
      <c r="A266" s="101">
        <v>46241</v>
      </c>
      <c r="B266" s="102"/>
      <c r="C266" s="102"/>
      <c r="D266" s="102"/>
      <c r="E266" s="102"/>
      <c r="F266" s="102"/>
      <c r="G266" s="102"/>
      <c r="H266" s="102"/>
      <c r="I266" s="102" t="s">
        <v>2167</v>
      </c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27"/>
      <c r="AY266" s="27"/>
    </row>
    <row r="267" spans="1:52" ht="36" x14ac:dyDescent="0.25">
      <c r="A267" s="28">
        <v>46255</v>
      </c>
      <c r="B267" s="29"/>
      <c r="C267" s="29" t="s">
        <v>2242</v>
      </c>
      <c r="D267" s="29"/>
      <c r="E267" s="29"/>
      <c r="F267" s="29" t="s">
        <v>2245</v>
      </c>
      <c r="G267" s="29" t="s">
        <v>2246</v>
      </c>
      <c r="H267" s="29" t="s">
        <v>2236</v>
      </c>
      <c r="I267" s="29" t="s">
        <v>2248</v>
      </c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 t="s">
        <v>2247</v>
      </c>
      <c r="X267" s="29" t="s">
        <v>2257</v>
      </c>
      <c r="Y267" s="29"/>
      <c r="Z267" s="29"/>
      <c r="AA267" s="29"/>
      <c r="AB267" s="29"/>
      <c r="AC267" s="29" t="s">
        <v>2234</v>
      </c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 t="s">
        <v>2233</v>
      </c>
      <c r="AQ267" s="29"/>
      <c r="AR267" s="29"/>
      <c r="AS267" s="29"/>
      <c r="AT267" s="29"/>
      <c r="AU267" s="29"/>
      <c r="AV267" s="121" t="s">
        <v>2255</v>
      </c>
      <c r="AW267" s="29"/>
      <c r="AZ267" s="190" t="s">
        <v>2230</v>
      </c>
    </row>
    <row r="268" spans="1:52" ht="36" x14ac:dyDescent="0.25">
      <c r="A268" s="11">
        <v>46255</v>
      </c>
      <c r="B268" s="12"/>
      <c r="C268" s="12"/>
      <c r="D268" s="12"/>
      <c r="E268" s="12"/>
      <c r="F268" s="12"/>
      <c r="G268" s="12"/>
      <c r="H268" s="12" t="s">
        <v>2239</v>
      </c>
      <c r="I268" s="12" t="s">
        <v>1892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 t="s">
        <v>2250</v>
      </c>
      <c r="AQ268" s="12"/>
      <c r="AR268" s="12"/>
      <c r="AS268" s="12"/>
      <c r="AT268" s="12"/>
      <c r="AU268" s="12"/>
      <c r="AV268" s="116" t="s">
        <v>2259</v>
      </c>
      <c r="AW268" s="15"/>
      <c r="AZ268" s="190" t="s">
        <v>2240</v>
      </c>
    </row>
    <row r="269" spans="1:52" ht="36" x14ac:dyDescent="0.25">
      <c r="A269" s="11">
        <v>46255</v>
      </c>
      <c r="B269" s="15"/>
      <c r="C269" s="15"/>
      <c r="D269" s="15"/>
      <c r="E269" s="15"/>
      <c r="F269" s="15"/>
      <c r="G269" s="15"/>
      <c r="H269" s="15" t="s">
        <v>2243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 t="s">
        <v>2252</v>
      </c>
      <c r="AQ269" s="15"/>
      <c r="AR269" s="15"/>
      <c r="AS269" s="15"/>
      <c r="AT269" s="15"/>
      <c r="AU269" s="15"/>
      <c r="AV269" s="15"/>
      <c r="AW269" s="12"/>
      <c r="AZ269" s="190" t="s">
        <v>2241</v>
      </c>
    </row>
    <row r="270" spans="1:52" ht="36" x14ac:dyDescent="0.25">
      <c r="A270" s="11">
        <v>46255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 t="s">
        <v>2254</v>
      </c>
      <c r="AQ270" s="12"/>
      <c r="AR270" s="12"/>
      <c r="AS270" s="12"/>
      <c r="AT270" s="12"/>
      <c r="AU270" s="12"/>
      <c r="AV270" s="12"/>
      <c r="AW270" s="15"/>
      <c r="AZ270" s="190" t="s">
        <v>2241</v>
      </c>
    </row>
    <row r="271" spans="1:52" ht="36" x14ac:dyDescent="0.25">
      <c r="A271" s="11">
        <v>46255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 t="s">
        <v>2081</v>
      </c>
      <c r="AQ271" s="15"/>
      <c r="AR271" s="15"/>
      <c r="AS271" s="15"/>
      <c r="AT271" s="15"/>
      <c r="AU271" s="15"/>
      <c r="AV271" s="15"/>
      <c r="AW271" s="12"/>
      <c r="AZ271" s="190" t="s">
        <v>2244</v>
      </c>
    </row>
    <row r="272" spans="1:52" s="103" customFormat="1" ht="36.75" thickBot="1" x14ac:dyDescent="0.3">
      <c r="A272" s="101">
        <v>46255</v>
      </c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 t="s">
        <v>2258</v>
      </c>
      <c r="AQ272" s="102"/>
      <c r="AR272" s="102"/>
      <c r="AS272" s="102"/>
      <c r="AT272" s="102"/>
      <c r="AU272" s="102"/>
      <c r="AV272" s="102"/>
      <c r="AW272" s="126"/>
      <c r="AX272" s="27"/>
      <c r="AY272" s="27"/>
      <c r="AZ272" s="192" t="s">
        <v>2251</v>
      </c>
    </row>
    <row r="273" spans="1:52" ht="36" x14ac:dyDescent="0.25">
      <c r="A273" s="18">
        <v>46258</v>
      </c>
      <c r="B273" s="20"/>
      <c r="C273" s="20" t="s">
        <v>2265</v>
      </c>
      <c r="D273" s="20"/>
      <c r="E273" s="20"/>
      <c r="F273" s="20"/>
      <c r="G273" s="20" t="s">
        <v>2270</v>
      </c>
      <c r="H273" s="20"/>
      <c r="I273" s="20" t="s">
        <v>2278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 t="s">
        <v>2277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 t="s">
        <v>2299</v>
      </c>
      <c r="AR273" s="20"/>
      <c r="AS273" s="20"/>
      <c r="AT273" s="20" t="s">
        <v>2296</v>
      </c>
      <c r="AU273" s="119" t="s">
        <v>2280</v>
      </c>
      <c r="AV273" s="20"/>
      <c r="AW273" s="153" t="s">
        <v>2282</v>
      </c>
      <c r="AX273" s="180"/>
      <c r="AY273" s="180"/>
      <c r="AZ273" s="220" t="s">
        <v>2281</v>
      </c>
    </row>
    <row r="274" spans="1:52" ht="36" x14ac:dyDescent="0.25">
      <c r="A274" s="11">
        <v>46258</v>
      </c>
      <c r="B274" s="12"/>
      <c r="C274" s="12" t="s">
        <v>2305</v>
      </c>
      <c r="D274" s="12"/>
      <c r="E274" s="12"/>
      <c r="F274" s="12"/>
      <c r="G274" s="12" t="s">
        <v>2295</v>
      </c>
      <c r="H274" s="12"/>
      <c r="I274" s="12" t="s">
        <v>2279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 t="s">
        <v>2289</v>
      </c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 t="s">
        <v>2304</v>
      </c>
      <c r="AR274" s="12"/>
      <c r="AS274" s="12"/>
      <c r="AT274" s="12"/>
      <c r="AU274" s="12"/>
      <c r="AV274" s="12"/>
      <c r="AW274" s="15"/>
      <c r="AX274" s="149"/>
      <c r="AY274" s="149"/>
      <c r="AZ274" s="221" t="s">
        <v>2285</v>
      </c>
    </row>
    <row r="275" spans="1:52" ht="36" x14ac:dyDescent="0.25">
      <c r="A275" s="11">
        <v>46258</v>
      </c>
      <c r="B275" s="15"/>
      <c r="C275" s="15"/>
      <c r="D275" s="15"/>
      <c r="E275" s="15"/>
      <c r="F275" s="15"/>
      <c r="G275" s="15"/>
      <c r="H275" s="15"/>
      <c r="I275" s="15" t="s">
        <v>2283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 t="s">
        <v>2301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2"/>
      <c r="AX275" s="149"/>
      <c r="AY275" s="149"/>
      <c r="AZ275" s="221" t="s">
        <v>2285</v>
      </c>
    </row>
    <row r="276" spans="1:52" x14ac:dyDescent="0.25">
      <c r="A276" s="11">
        <v>46258</v>
      </c>
      <c r="B276" s="12"/>
      <c r="C276" s="12"/>
      <c r="D276" s="12"/>
      <c r="E276" s="12"/>
      <c r="F276" s="12"/>
      <c r="G276" s="12"/>
      <c r="H276" s="12"/>
      <c r="I276" s="12" t="s">
        <v>230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5"/>
      <c r="AX276" s="149"/>
      <c r="AY276" s="149"/>
      <c r="AZ276" s="221" t="s">
        <v>2286</v>
      </c>
    </row>
    <row r="277" spans="1:52" x14ac:dyDescent="0.25">
      <c r="A277" s="11">
        <v>46258</v>
      </c>
      <c r="B277" s="15"/>
      <c r="C277" s="15"/>
      <c r="D277" s="15"/>
      <c r="E277" s="15"/>
      <c r="F277" s="15"/>
      <c r="G277" s="15"/>
      <c r="H277" s="15"/>
      <c r="I277" s="15" t="s">
        <v>2302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49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49"/>
      <c r="AY277" s="149"/>
      <c r="AZ277" s="221" t="s">
        <v>2288</v>
      </c>
    </row>
    <row r="278" spans="1:52" x14ac:dyDescent="0.25">
      <c r="A278" s="11">
        <v>46258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49"/>
      <c r="AY278" s="149"/>
      <c r="AZ278" s="221" t="s">
        <v>2300</v>
      </c>
    </row>
    <row r="279" spans="1:52" x14ac:dyDescent="0.25">
      <c r="A279" s="11">
        <v>46258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49"/>
      <c r="AY279" s="149"/>
      <c r="AZ279" s="221" t="s">
        <v>2303</v>
      </c>
    </row>
    <row r="280" spans="1:52" x14ac:dyDescent="0.25">
      <c r="A280" s="11">
        <v>46258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49"/>
      <c r="AY280" s="149"/>
      <c r="AZ280" s="221" t="s">
        <v>2307</v>
      </c>
    </row>
    <row r="281" spans="1:52" ht="15.75" thickBot="1" x14ac:dyDescent="0.3">
      <c r="A281" s="101">
        <v>46258</v>
      </c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27"/>
      <c r="AY281" s="27"/>
      <c r="AZ281" s="192" t="s">
        <v>2309</v>
      </c>
    </row>
    <row r="282" spans="1:52" ht="36" x14ac:dyDescent="0.25">
      <c r="A282" s="28">
        <v>46259</v>
      </c>
      <c r="B282" s="37"/>
      <c r="C282" s="37" t="s">
        <v>210</v>
      </c>
      <c r="D282" s="37"/>
      <c r="E282" s="37"/>
      <c r="F282" s="37" t="s">
        <v>2292</v>
      </c>
      <c r="G282" s="37"/>
      <c r="H282" s="37"/>
      <c r="I282" s="37" t="s">
        <v>2324</v>
      </c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 t="s">
        <v>2332</v>
      </c>
      <c r="Y282" s="37"/>
      <c r="Z282" s="37"/>
      <c r="AA282" s="37"/>
      <c r="AB282" s="37"/>
      <c r="AC282" s="37" t="s">
        <v>2335</v>
      </c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 t="s">
        <v>2327</v>
      </c>
      <c r="AU282" s="124" t="s">
        <v>2340</v>
      </c>
      <c r="AV282" s="37"/>
      <c r="AW282" s="124" t="s">
        <v>2338</v>
      </c>
      <c r="AZ282" s="221" t="s">
        <v>2331</v>
      </c>
    </row>
    <row r="283" spans="1:52" ht="36" x14ac:dyDescent="0.25">
      <c r="A283" s="11">
        <v>46259</v>
      </c>
      <c r="B283" s="15"/>
      <c r="C283" s="15"/>
      <c r="D283" s="15"/>
      <c r="E283" s="15"/>
      <c r="F283" s="15" t="s">
        <v>2337</v>
      </c>
      <c r="G283" s="15"/>
      <c r="H283" s="15"/>
      <c r="I283" s="15" t="s">
        <v>2333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 t="s">
        <v>2276</v>
      </c>
      <c r="AU283" s="15"/>
      <c r="AV283" s="15"/>
      <c r="AW283" s="117" t="s">
        <v>2339</v>
      </c>
    </row>
    <row r="284" spans="1:52" x14ac:dyDescent="0.25">
      <c r="A284" s="11">
        <v>46259</v>
      </c>
      <c r="B284" s="12"/>
      <c r="C284" s="12"/>
      <c r="D284" s="12"/>
      <c r="E284" s="12"/>
      <c r="F284" s="12"/>
      <c r="G284" s="12"/>
      <c r="H284" s="12"/>
      <c r="I284" s="12" t="s">
        <v>2336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52" x14ac:dyDescent="0.25">
      <c r="A285" s="11">
        <v>46259</v>
      </c>
      <c r="B285" s="15"/>
      <c r="C285" s="15"/>
      <c r="D285" s="15"/>
      <c r="E285" s="15"/>
      <c r="F285" s="15"/>
      <c r="G285" s="15"/>
      <c r="H285" s="15"/>
      <c r="I285" s="15" t="s">
        <v>2342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 spans="1:52" s="103" customFormat="1" ht="15.75" thickBot="1" x14ac:dyDescent="0.3">
      <c r="A286" s="101">
        <v>46259</v>
      </c>
      <c r="B286" s="102"/>
      <c r="C286" s="102"/>
      <c r="D286" s="102"/>
      <c r="E286" s="102"/>
      <c r="F286" s="102"/>
      <c r="G286" s="102"/>
      <c r="H286" s="102"/>
      <c r="I286" s="102" t="s">
        <v>2343</v>
      </c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26"/>
      <c r="AX286" s="27"/>
      <c r="AY286" s="27"/>
    </row>
    <row r="287" spans="1:52" ht="36" x14ac:dyDescent="0.25">
      <c r="A287" s="28">
        <v>46260</v>
      </c>
      <c r="B287" s="29"/>
      <c r="C287" s="29"/>
      <c r="D287" s="29"/>
      <c r="E287" s="29"/>
      <c r="F287" s="29" t="s">
        <v>2359</v>
      </c>
      <c r="G287" s="29"/>
      <c r="H287" s="29"/>
      <c r="I287" s="29" t="s">
        <v>2360</v>
      </c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 t="s">
        <v>2366</v>
      </c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 t="s">
        <v>2323</v>
      </c>
      <c r="AU287" s="29"/>
      <c r="AV287" s="121" t="s">
        <v>2274</v>
      </c>
      <c r="AW287" s="37"/>
      <c r="AZ287" s="190" t="s">
        <v>2364</v>
      </c>
    </row>
    <row r="288" spans="1:52" ht="36" x14ac:dyDescent="0.25">
      <c r="A288" s="11">
        <v>46260</v>
      </c>
      <c r="B288" s="12"/>
      <c r="C288" s="12"/>
      <c r="D288" s="12"/>
      <c r="E288" s="12"/>
      <c r="F288" s="12" t="s">
        <v>2369</v>
      </c>
      <c r="G288" s="12"/>
      <c r="H288" s="12"/>
      <c r="I288" s="12" t="s">
        <v>2361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 t="s">
        <v>2365</v>
      </c>
      <c r="AU288" s="12"/>
      <c r="AV288" s="12"/>
      <c r="AW288" s="15"/>
      <c r="AZ288" s="190" t="s">
        <v>2367</v>
      </c>
    </row>
    <row r="289" spans="1:52" s="103" customFormat="1" ht="15.75" thickBot="1" x14ac:dyDescent="0.3">
      <c r="A289" s="101">
        <v>46260</v>
      </c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02"/>
      <c r="AX289" s="27"/>
      <c r="AY289" s="27"/>
      <c r="AZ289" s="192" t="s">
        <v>2368</v>
      </c>
    </row>
    <row r="290" spans="1:52" ht="36" x14ac:dyDescent="0.25">
      <c r="A290" s="28">
        <v>46261</v>
      </c>
      <c r="B290" s="37"/>
      <c r="C290" s="37" t="s">
        <v>2388</v>
      </c>
      <c r="D290" s="37"/>
      <c r="E290" s="37"/>
      <c r="F290" s="37"/>
      <c r="G290" s="37" t="s">
        <v>2383</v>
      </c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 t="s">
        <v>2389</v>
      </c>
      <c r="AU290" s="37"/>
      <c r="AV290" s="124" t="s">
        <v>2386</v>
      </c>
      <c r="AW290" s="121" t="s">
        <v>2385</v>
      </c>
    </row>
    <row r="291" spans="1:52" s="103" customFormat="1" ht="36.75" thickBot="1" x14ac:dyDescent="0.3">
      <c r="A291" s="101">
        <v>46261</v>
      </c>
      <c r="B291" s="126"/>
      <c r="C291" s="126"/>
      <c r="D291" s="126"/>
      <c r="E291" s="126"/>
      <c r="F291" s="126"/>
      <c r="G291" s="126" t="s">
        <v>2387</v>
      </c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02"/>
      <c r="AX291" s="27"/>
      <c r="AY291" s="27"/>
    </row>
    <row r="292" spans="1:52" ht="36" x14ac:dyDescent="0.25">
      <c r="A292" s="28">
        <v>46262</v>
      </c>
      <c r="B292" s="37"/>
      <c r="C292" s="37" t="s">
        <v>2410</v>
      </c>
      <c r="D292" s="37"/>
      <c r="E292" s="37"/>
      <c r="F292" s="37"/>
      <c r="G292" s="37"/>
      <c r="H292" s="37"/>
      <c r="I292" s="37" t="s">
        <v>2420</v>
      </c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 t="s">
        <v>2416</v>
      </c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 t="s">
        <v>2430</v>
      </c>
      <c r="AR292" s="37"/>
      <c r="AS292" s="37"/>
      <c r="AT292" s="37"/>
      <c r="AU292" s="124" t="s">
        <v>2424</v>
      </c>
      <c r="AV292" s="37"/>
      <c r="AW292" s="121" t="s">
        <v>2411</v>
      </c>
      <c r="AZ292" s="221" t="s">
        <v>2418</v>
      </c>
    </row>
    <row r="293" spans="1:52" ht="36" x14ac:dyDescent="0.25">
      <c r="A293" s="11">
        <v>46262</v>
      </c>
      <c r="B293" s="15"/>
      <c r="C293" s="15" t="s">
        <v>2421</v>
      </c>
      <c r="D293" s="15"/>
      <c r="E293" s="15"/>
      <c r="F293" s="15"/>
      <c r="G293" s="15"/>
      <c r="H293" s="15"/>
      <c r="I293" s="15" t="s">
        <v>2427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16" t="s">
        <v>2417</v>
      </c>
    </row>
    <row r="294" spans="1:52" s="103" customFormat="1" ht="36.75" thickBot="1" x14ac:dyDescent="0.3">
      <c r="A294" s="101">
        <v>46262</v>
      </c>
      <c r="B294" s="102"/>
      <c r="C294" s="102" t="s">
        <v>2432</v>
      </c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50" t="s">
        <v>2429</v>
      </c>
      <c r="AX294" s="27"/>
      <c r="AY294" s="27"/>
    </row>
    <row r="295" spans="1:52" ht="36" x14ac:dyDescent="0.25">
      <c r="A295" s="28">
        <v>46265</v>
      </c>
      <c r="B295" s="29"/>
      <c r="C295" s="29" t="s">
        <v>2466</v>
      </c>
      <c r="D295" s="29"/>
      <c r="E295" s="29" t="s">
        <v>2460</v>
      </c>
      <c r="F295" s="29" t="s">
        <v>2473</v>
      </c>
      <c r="G295" s="29"/>
      <c r="H295" s="29"/>
      <c r="I295" s="29" t="s">
        <v>2463</v>
      </c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 t="s">
        <v>2461</v>
      </c>
      <c r="X295" s="29" t="s">
        <v>2503</v>
      </c>
      <c r="Y295" s="29"/>
      <c r="Z295" s="29"/>
      <c r="AA295" s="29"/>
      <c r="AB295" s="29"/>
      <c r="AC295" s="29" t="s">
        <v>2490</v>
      </c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 t="s">
        <v>2486</v>
      </c>
      <c r="AO295" s="29"/>
      <c r="AP295" s="29"/>
      <c r="AQ295" s="29"/>
      <c r="AR295" s="29"/>
      <c r="AS295" s="29"/>
      <c r="AT295" s="29"/>
      <c r="AU295" s="29"/>
      <c r="AV295" s="121" t="s">
        <v>2474</v>
      </c>
      <c r="AW295" s="121" t="s">
        <v>2453</v>
      </c>
      <c r="AZ295" s="190" t="s">
        <v>2458</v>
      </c>
    </row>
    <row r="296" spans="1:52" ht="36" x14ac:dyDescent="0.25">
      <c r="A296" s="11">
        <v>46265</v>
      </c>
      <c r="B296" s="12"/>
      <c r="C296" s="12" t="s">
        <v>2467</v>
      </c>
      <c r="D296" s="12"/>
      <c r="E296" s="12" t="s">
        <v>2482</v>
      </c>
      <c r="F296" s="12" t="s">
        <v>2483</v>
      </c>
      <c r="G296" s="12"/>
      <c r="H296" s="12"/>
      <c r="I296" s="12" t="s">
        <v>2481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 t="s">
        <v>2504</v>
      </c>
      <c r="Y296" s="12"/>
      <c r="Z296" s="12"/>
      <c r="AA296" s="12"/>
      <c r="AB296" s="12"/>
      <c r="AC296" s="12" t="s">
        <v>2502</v>
      </c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16" t="s">
        <v>2480</v>
      </c>
      <c r="AW296" s="116" t="s">
        <v>2472</v>
      </c>
      <c r="AZ296" s="190" t="s">
        <v>2459</v>
      </c>
    </row>
    <row r="297" spans="1:52" ht="36" x14ac:dyDescent="0.25">
      <c r="A297" s="11">
        <v>46265</v>
      </c>
      <c r="B297" s="15"/>
      <c r="C297" s="15" t="s">
        <v>2492</v>
      </c>
      <c r="D297" s="15"/>
      <c r="E297" s="15"/>
      <c r="F297" s="15" t="s">
        <v>2494</v>
      </c>
      <c r="G297" s="15"/>
      <c r="H297" s="15"/>
      <c r="I297" s="15" t="s">
        <v>2485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 t="s">
        <v>2506</v>
      </c>
      <c r="Y297" s="15"/>
      <c r="Z297" s="15"/>
      <c r="AA297" s="15"/>
      <c r="AB297" s="15"/>
      <c r="AC297" s="15" t="s">
        <v>2509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17" t="s">
        <v>2484</v>
      </c>
      <c r="AW297" s="15"/>
      <c r="AZ297" s="190" t="s">
        <v>2487</v>
      </c>
    </row>
    <row r="298" spans="1:52" ht="36" x14ac:dyDescent="0.25">
      <c r="A298" s="11">
        <v>46265</v>
      </c>
      <c r="B298" s="12"/>
      <c r="C298" s="12" t="s">
        <v>2498</v>
      </c>
      <c r="D298" s="12"/>
      <c r="E298" s="12"/>
      <c r="F298" s="12" t="s">
        <v>2524</v>
      </c>
      <c r="G298" s="12"/>
      <c r="H298" s="12"/>
      <c r="I298" s="12" t="s">
        <v>2488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 t="s">
        <v>2525</v>
      </c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16" t="s">
        <v>2489</v>
      </c>
      <c r="AW298" s="12"/>
      <c r="AZ298" s="190" t="s">
        <v>2493</v>
      </c>
    </row>
    <row r="299" spans="1:52" ht="36" x14ac:dyDescent="0.25">
      <c r="A299" s="11">
        <v>46265</v>
      </c>
      <c r="B299" s="15"/>
      <c r="C299" s="15" t="s">
        <v>2414</v>
      </c>
      <c r="D299" s="15"/>
      <c r="E299" s="15"/>
      <c r="F299" s="15"/>
      <c r="G299" s="15"/>
      <c r="H299" s="15"/>
      <c r="I299" s="15" t="s">
        <v>2511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 t="s">
        <v>2530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17" t="s">
        <v>2505</v>
      </c>
      <c r="AW299" s="15"/>
      <c r="AZ299" s="190" t="s">
        <v>2507</v>
      </c>
    </row>
    <row r="300" spans="1:52" ht="36" x14ac:dyDescent="0.25">
      <c r="A300" s="11">
        <v>46265</v>
      </c>
      <c r="B300" s="12"/>
      <c r="C300" s="12" t="s">
        <v>2419</v>
      </c>
      <c r="D300" s="12"/>
      <c r="E300" s="12"/>
      <c r="F300" s="12"/>
      <c r="G300" s="12"/>
      <c r="H300" s="12"/>
      <c r="I300" s="12" t="s">
        <v>2515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29" t="s">
        <v>2469</v>
      </c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16" t="s">
        <v>2512</v>
      </c>
      <c r="AW300" s="12"/>
      <c r="AZ300" s="190" t="s">
        <v>2518</v>
      </c>
    </row>
    <row r="301" spans="1:52" ht="36" x14ac:dyDescent="0.25">
      <c r="A301" s="11">
        <v>46265</v>
      </c>
      <c r="B301" s="15"/>
      <c r="C301" s="15" t="s">
        <v>2519</v>
      </c>
      <c r="D301" s="15"/>
      <c r="E301" s="15"/>
      <c r="F301" s="15"/>
      <c r="G301" s="15"/>
      <c r="H301" s="15"/>
      <c r="I301" s="15" t="s">
        <v>2516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2" t="s">
        <v>2476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17" t="s">
        <v>2526</v>
      </c>
      <c r="AW301" s="15"/>
      <c r="AZ301" s="190" t="s">
        <v>2527</v>
      </c>
    </row>
    <row r="302" spans="1:52" x14ac:dyDescent="0.25">
      <c r="A302" s="11">
        <v>46265</v>
      </c>
      <c r="B302" s="12"/>
      <c r="C302" s="12" t="s">
        <v>2522</v>
      </c>
      <c r="D302" s="12"/>
      <c r="E302" s="12"/>
      <c r="F302" s="12"/>
      <c r="G302" s="12"/>
      <c r="H302" s="12"/>
      <c r="I302" s="12" t="s">
        <v>2517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Z302" s="190" t="s">
        <v>2531</v>
      </c>
    </row>
    <row r="303" spans="1:52" x14ac:dyDescent="0.25">
      <c r="A303" s="11">
        <v>46265</v>
      </c>
      <c r="B303" s="15"/>
      <c r="C303" s="15" t="s">
        <v>2523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 spans="1:52" x14ac:dyDescent="0.25">
      <c r="A304" s="11">
        <v>46265</v>
      </c>
      <c r="B304" s="12"/>
      <c r="C304" s="12" t="s">
        <v>2532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5"/>
    </row>
    <row r="305" spans="1:52" x14ac:dyDescent="0.25">
      <c r="A305" s="11">
        <v>46265</v>
      </c>
      <c r="B305" s="15"/>
      <c r="C305" s="15" t="s">
        <v>2533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2"/>
    </row>
    <row r="306" spans="1:52" s="103" customFormat="1" ht="15.75" thickBot="1" x14ac:dyDescent="0.3">
      <c r="A306" s="101">
        <v>46265</v>
      </c>
      <c r="B306" s="102"/>
      <c r="C306" s="102" t="s">
        <v>2534</v>
      </c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26"/>
      <c r="AX306" s="27"/>
      <c r="AY306" s="27"/>
    </row>
    <row r="307" spans="1:52" ht="36" x14ac:dyDescent="0.25">
      <c r="A307" s="28">
        <v>46266</v>
      </c>
      <c r="B307" s="29"/>
      <c r="C307" s="29"/>
      <c r="D307" s="29"/>
      <c r="E307" s="29"/>
      <c r="F307" s="29" t="s">
        <v>2553</v>
      </c>
      <c r="G307" s="29"/>
      <c r="H307" s="29"/>
      <c r="I307" s="29" t="s">
        <v>2477</v>
      </c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121" t="s">
        <v>2557</v>
      </c>
      <c r="AW307" s="124" t="s">
        <v>2556</v>
      </c>
      <c r="AX307" s="218"/>
      <c r="AY307" s="218"/>
      <c r="AZ307" s="190" t="s">
        <v>2558</v>
      </c>
    </row>
    <row r="308" spans="1:52" s="103" customFormat="1" ht="15.75" thickBot="1" x14ac:dyDescent="0.3">
      <c r="A308" s="101">
        <v>46266</v>
      </c>
      <c r="B308" s="102"/>
      <c r="C308" s="102"/>
      <c r="D308" s="102"/>
      <c r="E308" s="102"/>
      <c r="F308" s="102" t="s">
        <v>2554</v>
      </c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26"/>
      <c r="AX308" s="27"/>
      <c r="AY308" s="27"/>
    </row>
    <row r="309" spans="1:52" ht="36" x14ac:dyDescent="0.25">
      <c r="A309" s="28">
        <v>46267</v>
      </c>
      <c r="B309" s="29"/>
      <c r="C309" s="29" t="s">
        <v>2583</v>
      </c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 t="s">
        <v>2582</v>
      </c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 t="s">
        <v>2576</v>
      </c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37"/>
    </row>
    <row r="310" spans="1:52" ht="36" x14ac:dyDescent="0.25">
      <c r="A310" s="11">
        <v>46267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 t="s">
        <v>2579</v>
      </c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5"/>
    </row>
    <row r="311" spans="1:52" s="103" customFormat="1" ht="36.75" thickBot="1" x14ac:dyDescent="0.3">
      <c r="A311" s="217">
        <v>46267</v>
      </c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 t="s">
        <v>2580</v>
      </c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02"/>
      <c r="AX311" s="27"/>
      <c r="AY311" s="27"/>
    </row>
    <row r="312" spans="1:52" ht="36" x14ac:dyDescent="0.25">
      <c r="A312" s="28">
        <v>46268</v>
      </c>
      <c r="B312" s="37"/>
      <c r="C312" s="37" t="s">
        <v>2630</v>
      </c>
      <c r="D312" s="37"/>
      <c r="E312" s="37"/>
      <c r="F312" s="37" t="s">
        <v>2623</v>
      </c>
      <c r="G312" s="37"/>
      <c r="H312" s="37"/>
      <c r="I312" s="37" t="s">
        <v>2620</v>
      </c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 t="s">
        <v>2626</v>
      </c>
      <c r="Y312" s="37"/>
      <c r="Z312" s="37"/>
      <c r="AA312" s="37"/>
      <c r="AB312" s="37"/>
      <c r="AC312" s="37" t="s">
        <v>2621</v>
      </c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 t="s">
        <v>2462</v>
      </c>
      <c r="AU312" s="37"/>
      <c r="AV312" s="37" t="s">
        <v>2622</v>
      </c>
      <c r="AW312" s="29" t="s">
        <v>2614</v>
      </c>
    </row>
    <row r="313" spans="1:52" s="103" customFormat="1" ht="36.75" thickBot="1" x14ac:dyDescent="0.3">
      <c r="A313" s="101">
        <v>46268</v>
      </c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 t="s">
        <v>2628</v>
      </c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 t="s">
        <v>2617</v>
      </c>
      <c r="AX313" s="27"/>
      <c r="AY313" s="27"/>
    </row>
    <row r="314" spans="1:52" ht="48" x14ac:dyDescent="0.25">
      <c r="A314" s="28">
        <v>46269</v>
      </c>
      <c r="B314" s="37"/>
      <c r="C314" s="37" t="s">
        <v>2675</v>
      </c>
      <c r="D314" s="37"/>
      <c r="E314" s="37"/>
      <c r="F314" s="37" t="s">
        <v>2514</v>
      </c>
      <c r="G314" s="37"/>
      <c r="H314" s="37"/>
      <c r="I314" s="37" t="s">
        <v>2659</v>
      </c>
      <c r="J314" s="37"/>
      <c r="K314" s="37" t="s">
        <v>2684</v>
      </c>
      <c r="L314" s="37"/>
      <c r="M314" s="37"/>
      <c r="N314" s="37"/>
      <c r="O314" s="37"/>
      <c r="P314" s="37"/>
      <c r="Q314" s="37"/>
      <c r="R314" s="37"/>
      <c r="S314" s="37"/>
      <c r="T314" s="37"/>
      <c r="U314" s="37" t="s">
        <v>2666</v>
      </c>
      <c r="V314" s="37"/>
      <c r="W314" s="37" t="s">
        <v>2677</v>
      </c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 t="s">
        <v>2689</v>
      </c>
      <c r="AR314" s="37"/>
      <c r="AS314" s="37" t="s">
        <v>2654</v>
      </c>
      <c r="AT314" s="37" t="s">
        <v>2680</v>
      </c>
      <c r="AU314" s="37" t="s">
        <v>2696</v>
      </c>
      <c r="AV314" s="37" t="s">
        <v>2679</v>
      </c>
      <c r="AW314" s="37" t="s">
        <v>2661</v>
      </c>
      <c r="AZ314" t="s">
        <v>2646</v>
      </c>
    </row>
    <row r="315" spans="1:52" ht="48" x14ac:dyDescent="0.25">
      <c r="A315" s="11">
        <v>46269</v>
      </c>
      <c r="B315" s="15"/>
      <c r="C315" s="15" t="s">
        <v>2676</v>
      </c>
      <c r="D315" s="15"/>
      <c r="E315" s="15"/>
      <c r="F315" s="15"/>
      <c r="G315" s="15"/>
      <c r="H315" s="15"/>
      <c r="I315" s="15" t="s">
        <v>2688</v>
      </c>
      <c r="J315" s="15"/>
      <c r="K315" s="15" t="s">
        <v>2702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 t="s">
        <v>2685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 t="s">
        <v>2695</v>
      </c>
      <c r="AR315" s="15"/>
      <c r="AS315" s="15" t="s">
        <v>2672</v>
      </c>
      <c r="AT315" s="15" t="s">
        <v>2682</v>
      </c>
      <c r="AU315" s="15" t="s">
        <v>2697</v>
      </c>
      <c r="AV315" s="15"/>
      <c r="AW315" s="15" t="s">
        <v>2670</v>
      </c>
      <c r="AZ315" t="s">
        <v>2651</v>
      </c>
    </row>
    <row r="316" spans="1:52" ht="36" x14ac:dyDescent="0.25">
      <c r="A316" s="11">
        <v>46269</v>
      </c>
      <c r="B316" s="12"/>
      <c r="C316" s="12" t="s">
        <v>2521</v>
      </c>
      <c r="D316" s="12"/>
      <c r="E316" s="12"/>
      <c r="F316" s="12"/>
      <c r="G316" s="12"/>
      <c r="H316" s="12"/>
      <c r="I316" s="12" t="s">
        <v>2690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 t="s">
        <v>2692</v>
      </c>
      <c r="AU316" s="12"/>
      <c r="AV316" s="12"/>
      <c r="AW316" s="12" t="s">
        <v>2693</v>
      </c>
      <c r="AZ316" t="s">
        <v>2655</v>
      </c>
    </row>
    <row r="317" spans="1:52" ht="36" x14ac:dyDescent="0.25">
      <c r="A317" s="11">
        <v>46269</v>
      </c>
      <c r="B317" s="15"/>
      <c r="C317" s="15" t="s">
        <v>2687</v>
      </c>
      <c r="D317" s="15"/>
      <c r="E317" s="15"/>
      <c r="F317" s="15"/>
      <c r="G317" s="15"/>
      <c r="H317" s="15"/>
      <c r="I317" s="15" t="s">
        <v>2691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 t="s">
        <v>2701</v>
      </c>
      <c r="AZ317" t="s">
        <v>2663</v>
      </c>
    </row>
    <row r="318" spans="1:52" x14ac:dyDescent="0.25">
      <c r="A318" s="11">
        <v>46269</v>
      </c>
      <c r="B318" s="12"/>
      <c r="C318" s="12" t="s">
        <v>2631</v>
      </c>
      <c r="D318" s="12"/>
      <c r="E318" s="12"/>
      <c r="F318" s="12"/>
      <c r="G318" s="12"/>
      <c r="H318" s="12"/>
      <c r="I318" s="12" t="s">
        <v>2694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Z318" t="s">
        <v>2664</v>
      </c>
    </row>
    <row r="319" spans="1:52" x14ac:dyDescent="0.25">
      <c r="A319" s="11">
        <v>46269</v>
      </c>
      <c r="B319" s="15"/>
      <c r="C319" s="15" t="s">
        <v>2700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Z319" t="s">
        <v>2681</v>
      </c>
    </row>
    <row r="320" spans="1:52" s="103" customFormat="1" ht="15.75" thickBot="1" x14ac:dyDescent="0.3">
      <c r="A320" s="101">
        <v>46269</v>
      </c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27"/>
      <c r="AY320" s="27"/>
      <c r="AZ320" s="103" t="s">
        <v>2581</v>
      </c>
    </row>
    <row r="321" spans="1:52" ht="36" x14ac:dyDescent="0.25">
      <c r="A321" s="28">
        <v>46272</v>
      </c>
      <c r="B321" s="29"/>
      <c r="C321" s="29" t="s">
        <v>2742</v>
      </c>
      <c r="D321" s="29"/>
      <c r="E321" s="29"/>
      <c r="F321" s="29" t="s">
        <v>2762</v>
      </c>
      <c r="G321" s="29" t="s">
        <v>2729</v>
      </c>
      <c r="H321" s="29"/>
      <c r="I321" s="29" t="s">
        <v>2744</v>
      </c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 t="s">
        <v>2739</v>
      </c>
      <c r="X321" s="29" t="s">
        <v>2653</v>
      </c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 t="s">
        <v>2786</v>
      </c>
      <c r="AU321" s="29" t="s">
        <v>2760</v>
      </c>
      <c r="AV321" s="29" t="s">
        <v>2748</v>
      </c>
      <c r="AW321" s="29" t="s">
        <v>2758</v>
      </c>
      <c r="AZ321" s="223" t="s">
        <v>2734</v>
      </c>
    </row>
    <row r="322" spans="1:52" ht="36" x14ac:dyDescent="0.25">
      <c r="A322" s="11">
        <v>46272</v>
      </c>
      <c r="B322" s="12"/>
      <c r="C322" s="12" t="s">
        <v>2743</v>
      </c>
      <c r="D322" s="12"/>
      <c r="E322" s="12"/>
      <c r="F322" s="12" t="s">
        <v>2767</v>
      </c>
      <c r="G322" s="12" t="s">
        <v>2730</v>
      </c>
      <c r="H322" s="12"/>
      <c r="I322" s="12" t="s">
        <v>2745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 t="s">
        <v>2747</v>
      </c>
      <c r="X322" s="12" t="s">
        <v>2813</v>
      </c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 t="s">
        <v>2777</v>
      </c>
      <c r="AW322" s="15" t="s">
        <v>2784</v>
      </c>
      <c r="AZ322" s="223" t="s">
        <v>2738</v>
      </c>
    </row>
    <row r="323" spans="1:52" ht="36" x14ac:dyDescent="0.25">
      <c r="A323" s="11">
        <v>46272</v>
      </c>
      <c r="B323" s="15"/>
      <c r="C323" s="15" t="s">
        <v>2761</v>
      </c>
      <c r="D323" s="15"/>
      <c r="E323" s="15"/>
      <c r="F323" s="15" t="s">
        <v>2785</v>
      </c>
      <c r="G323" s="15" t="s">
        <v>2733</v>
      </c>
      <c r="H323" s="15"/>
      <c r="I323" s="15" t="s">
        <v>2698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 t="s">
        <v>2578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 t="s">
        <v>2779</v>
      </c>
      <c r="AW323" s="12" t="s">
        <v>2787</v>
      </c>
      <c r="AZ323" s="223" t="s">
        <v>2741</v>
      </c>
    </row>
    <row r="324" spans="1:52" ht="36" x14ac:dyDescent="0.25">
      <c r="A324" s="11">
        <v>46272</v>
      </c>
      <c r="B324" s="12"/>
      <c r="C324" s="12" t="s">
        <v>2764</v>
      </c>
      <c r="D324" s="12"/>
      <c r="E324" s="12"/>
      <c r="F324" s="12" t="s">
        <v>2790</v>
      </c>
      <c r="G324" s="12" t="s">
        <v>2737</v>
      </c>
      <c r="H324" s="12"/>
      <c r="I324" s="12" t="s">
        <v>2819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 t="s">
        <v>2765</v>
      </c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 t="s">
        <v>2800</v>
      </c>
      <c r="AW324" s="15" t="s">
        <v>2788</v>
      </c>
      <c r="AZ324" s="223" t="s">
        <v>2683</v>
      </c>
    </row>
    <row r="325" spans="1:52" ht="36" x14ac:dyDescent="0.25">
      <c r="A325" s="11">
        <v>46272</v>
      </c>
      <c r="B325" s="15"/>
      <c r="C325" s="15" t="s">
        <v>2766</v>
      </c>
      <c r="D325" s="15"/>
      <c r="E325" s="15"/>
      <c r="F325" s="15" t="s">
        <v>2797</v>
      </c>
      <c r="G325" s="15" t="s">
        <v>2755</v>
      </c>
      <c r="H325" s="15"/>
      <c r="I325" s="15" t="s">
        <v>2818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2" t="s">
        <v>2796</v>
      </c>
      <c r="AZ325" s="223" t="s">
        <v>2752</v>
      </c>
    </row>
    <row r="326" spans="1:52" ht="36" x14ac:dyDescent="0.25">
      <c r="A326" s="11">
        <v>46272</v>
      </c>
      <c r="B326" s="12"/>
      <c r="C326" s="12" t="s">
        <v>2801</v>
      </c>
      <c r="D326" s="12"/>
      <c r="E326" s="12"/>
      <c r="F326" s="12" t="s">
        <v>2816</v>
      </c>
      <c r="G326" s="12" t="s">
        <v>2768</v>
      </c>
      <c r="H326" s="12"/>
      <c r="I326" s="12" t="s">
        <v>2826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5"/>
      <c r="AZ326" s="223" t="s">
        <v>2757</v>
      </c>
    </row>
    <row r="327" spans="1:52" ht="36" x14ac:dyDescent="0.25">
      <c r="A327" s="11">
        <v>46272</v>
      </c>
      <c r="B327" s="15"/>
      <c r="C327" s="15" t="s">
        <v>2812</v>
      </c>
      <c r="D327" s="15"/>
      <c r="E327" s="15"/>
      <c r="F327" s="15"/>
      <c r="G327" s="15" t="s">
        <v>2778</v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2"/>
      <c r="AZ327" s="223" t="s">
        <v>2763</v>
      </c>
    </row>
    <row r="328" spans="1:52" ht="36" x14ac:dyDescent="0.25">
      <c r="A328" s="11">
        <v>46272</v>
      </c>
      <c r="B328" s="12"/>
      <c r="C328" s="12" t="s">
        <v>2823</v>
      </c>
      <c r="D328" s="12"/>
      <c r="E328" s="12"/>
      <c r="F328" s="12"/>
      <c r="G328" s="12" t="s">
        <v>2802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5"/>
      <c r="AZ328" s="223" t="s">
        <v>2772</v>
      </c>
    </row>
    <row r="329" spans="1:52" ht="36" x14ac:dyDescent="0.25">
      <c r="A329" s="11">
        <v>46272</v>
      </c>
      <c r="B329" s="15"/>
      <c r="C329" s="15"/>
      <c r="D329" s="15"/>
      <c r="E329" s="15"/>
      <c r="F329" s="15"/>
      <c r="G329" s="15" t="s">
        <v>2803</v>
      </c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2"/>
      <c r="AZ329" s="223" t="s">
        <v>2775</v>
      </c>
    </row>
    <row r="330" spans="1:52" ht="36" x14ac:dyDescent="0.25">
      <c r="A330" s="11">
        <v>46272</v>
      </c>
      <c r="B330" s="12"/>
      <c r="C330" s="12"/>
      <c r="D330" s="12"/>
      <c r="E330" s="12"/>
      <c r="F330" s="12"/>
      <c r="G330" s="12" t="s">
        <v>2809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5"/>
      <c r="AZ330" s="223" t="s">
        <v>2776</v>
      </c>
    </row>
    <row r="331" spans="1:52" ht="36" x14ac:dyDescent="0.25">
      <c r="A331" s="11">
        <v>46272</v>
      </c>
      <c r="B331" s="15"/>
      <c r="C331" s="15"/>
      <c r="D331" s="15"/>
      <c r="E331" s="15"/>
      <c r="F331" s="15"/>
      <c r="G331" s="15" t="s">
        <v>2821</v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Z331" s="223" t="s">
        <v>2783</v>
      </c>
    </row>
    <row r="332" spans="1:52" ht="36" x14ac:dyDescent="0.25">
      <c r="A332" s="11">
        <v>46272</v>
      </c>
      <c r="B332" s="12"/>
      <c r="C332" s="12"/>
      <c r="D332" s="12"/>
      <c r="E332" s="12"/>
      <c r="F332" s="12"/>
      <c r="G332" s="12" t="s">
        <v>2824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Z332" s="223" t="s">
        <v>2789</v>
      </c>
    </row>
    <row r="333" spans="1:52" x14ac:dyDescent="0.25">
      <c r="A333" s="11">
        <v>46272</v>
      </c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Z333" s="223" t="s">
        <v>2794</v>
      </c>
    </row>
    <row r="334" spans="1:52" s="103" customFormat="1" ht="15.75" thickBot="1" x14ac:dyDescent="0.3">
      <c r="A334" s="101">
        <v>46272</v>
      </c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27"/>
      <c r="AY334" s="27"/>
      <c r="AZ334" s="227" t="s">
        <v>2807</v>
      </c>
    </row>
    <row r="335" spans="1:52" x14ac:dyDescent="0.25">
      <c r="A335" s="28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</row>
    <row r="336" spans="1:52" x14ac:dyDescent="0.25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1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spans="1:49" x14ac:dyDescent="0.25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1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spans="1:49" x14ac:dyDescent="0.25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5"/>
    </row>
    <row r="341" spans="1:49" x14ac:dyDescent="0.25">
      <c r="A341" s="11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2"/>
    </row>
    <row r="342" spans="1:49" x14ac:dyDescent="0.25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5"/>
    </row>
    <row r="343" spans="1:49" x14ac:dyDescent="0.25">
      <c r="A343" s="11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2"/>
    </row>
    <row r="344" spans="1:49" x14ac:dyDescent="0.25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5"/>
    </row>
    <row r="345" spans="1:49" x14ac:dyDescent="0.25">
      <c r="A345" s="11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2"/>
    </row>
    <row r="346" spans="1:49" x14ac:dyDescent="0.25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5"/>
    </row>
    <row r="347" spans="1:49" x14ac:dyDescent="0.25">
      <c r="A347" s="11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2"/>
    </row>
    <row r="348" spans="1:49" x14ac:dyDescent="0.25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5"/>
    </row>
    <row r="349" spans="1:49" x14ac:dyDescent="0.25">
      <c r="A349" s="11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 spans="1:49" x14ac:dyDescent="0.25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1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 spans="1:49" x14ac:dyDescent="0.25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1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 spans="1:49" x14ac:dyDescent="0.25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1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spans="1:49" x14ac:dyDescent="0.25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1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spans="1:49" x14ac:dyDescent="0.25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5"/>
    </row>
    <row r="359" spans="1:49" x14ac:dyDescent="0.25">
      <c r="A359" s="11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2"/>
    </row>
    <row r="360" spans="1:49" x14ac:dyDescent="0.25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5"/>
    </row>
    <row r="361" spans="1:49" x14ac:dyDescent="0.25">
      <c r="A361" s="11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2"/>
    </row>
    <row r="362" spans="1:49" x14ac:dyDescent="0.25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5"/>
    </row>
    <row r="363" spans="1:49" x14ac:dyDescent="0.25">
      <c r="A363" s="11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2"/>
    </row>
    <row r="364" spans="1:49" x14ac:dyDescent="0.25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5"/>
    </row>
    <row r="365" spans="1:49" x14ac:dyDescent="0.25">
      <c r="A365" s="11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2"/>
    </row>
    <row r="366" spans="1:49" x14ac:dyDescent="0.25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5"/>
    </row>
    <row r="367" spans="1:49" x14ac:dyDescent="0.25">
      <c r="A367" s="11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 spans="1:49" x14ac:dyDescent="0.25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1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 spans="1:49" x14ac:dyDescent="0.25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1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 spans="1:49" x14ac:dyDescent="0.25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1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 spans="1:49" x14ac:dyDescent="0.25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1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spans="1:49" x14ac:dyDescent="0.25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5"/>
    </row>
    <row r="377" spans="1:49" x14ac:dyDescent="0.25">
      <c r="A377" s="11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2"/>
    </row>
    <row r="378" spans="1:49" x14ac:dyDescent="0.25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5"/>
    </row>
    <row r="379" spans="1:49" x14ac:dyDescent="0.25">
      <c r="A379" s="11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2"/>
    </row>
    <row r="380" spans="1:49" x14ac:dyDescent="0.25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5"/>
    </row>
    <row r="381" spans="1:49" x14ac:dyDescent="0.25">
      <c r="A381" s="11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2"/>
    </row>
    <row r="382" spans="1:49" x14ac:dyDescent="0.25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5"/>
    </row>
    <row r="383" spans="1:49" x14ac:dyDescent="0.25">
      <c r="A383" s="11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2"/>
    </row>
    <row r="384" spans="1:49" x14ac:dyDescent="0.25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5"/>
    </row>
    <row r="385" spans="1:49" x14ac:dyDescent="0.25">
      <c r="A385" s="11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 spans="1:49" x14ac:dyDescent="0.25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1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 spans="1:49" x14ac:dyDescent="0.25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1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 spans="1:49" x14ac:dyDescent="0.25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1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 spans="1:49" x14ac:dyDescent="0.25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1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 spans="1:49" x14ac:dyDescent="0.25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5"/>
    </row>
    <row r="395" spans="1:49" x14ac:dyDescent="0.25">
      <c r="A395" s="11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2"/>
    </row>
    <row r="396" spans="1:49" x14ac:dyDescent="0.25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5"/>
    </row>
    <row r="397" spans="1:49" x14ac:dyDescent="0.25">
      <c r="A397" s="11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2"/>
    </row>
    <row r="398" spans="1:49" x14ac:dyDescent="0.25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5"/>
    </row>
    <row r="399" spans="1:49" x14ac:dyDescent="0.25">
      <c r="A399" s="11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2"/>
    </row>
    <row r="400" spans="1:49" x14ac:dyDescent="0.25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5"/>
    </row>
    <row r="401" spans="1:49" x14ac:dyDescent="0.25">
      <c r="A401" s="11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2"/>
    </row>
    <row r="402" spans="1:49" x14ac:dyDescent="0.25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5"/>
    </row>
    <row r="403" spans="1:49" x14ac:dyDescent="0.25">
      <c r="A403" s="11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spans="1:49" x14ac:dyDescent="0.25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1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spans="1:49" x14ac:dyDescent="0.25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1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spans="1:49" x14ac:dyDescent="0.25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1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 spans="1:49" x14ac:dyDescent="0.25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1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spans="1:49" x14ac:dyDescent="0.25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5"/>
    </row>
    <row r="413" spans="1:49" x14ac:dyDescent="0.25">
      <c r="A413" s="11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2"/>
    </row>
    <row r="414" spans="1:49" x14ac:dyDescent="0.25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5"/>
    </row>
    <row r="415" spans="1:49" x14ac:dyDescent="0.25">
      <c r="A415" s="11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2"/>
    </row>
    <row r="416" spans="1:49" x14ac:dyDescent="0.25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5"/>
    </row>
    <row r="417" spans="1:49" x14ac:dyDescent="0.25">
      <c r="A417" s="11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2"/>
    </row>
    <row r="418" spans="1:49" x14ac:dyDescent="0.25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5"/>
    </row>
    <row r="419" spans="1:49" x14ac:dyDescent="0.25">
      <c r="A419" s="11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2"/>
    </row>
    <row r="420" spans="1:49" x14ac:dyDescent="0.25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5"/>
    </row>
    <row r="421" spans="1:49" x14ac:dyDescent="0.25">
      <c r="A421" s="11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 spans="1:49" x14ac:dyDescent="0.25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1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 spans="1:49" x14ac:dyDescent="0.25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1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 spans="1:49" x14ac:dyDescent="0.25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1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 spans="1:49" x14ac:dyDescent="0.25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1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 spans="1:49" x14ac:dyDescent="0.25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5"/>
    </row>
    <row r="431" spans="1:49" x14ac:dyDescent="0.25">
      <c r="A431" s="11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2"/>
    </row>
    <row r="432" spans="1:49" x14ac:dyDescent="0.25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5"/>
    </row>
    <row r="433" spans="1:49" x14ac:dyDescent="0.25">
      <c r="A433" s="11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2"/>
    </row>
    <row r="434" spans="1:49" x14ac:dyDescent="0.25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5"/>
    </row>
    <row r="435" spans="1:49" x14ac:dyDescent="0.25">
      <c r="A435" s="11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2"/>
    </row>
    <row r="436" spans="1:49" x14ac:dyDescent="0.25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5"/>
    </row>
    <row r="437" spans="1:49" x14ac:dyDescent="0.25">
      <c r="A437" s="11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2"/>
    </row>
    <row r="438" spans="1:49" x14ac:dyDescent="0.25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5"/>
    </row>
    <row r="439" spans="1:49" x14ac:dyDescent="0.25">
      <c r="A439" s="11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spans="1:49" x14ac:dyDescent="0.25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1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spans="1:49" x14ac:dyDescent="0.25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1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 spans="1:49" x14ac:dyDescent="0.25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1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 spans="1:49" x14ac:dyDescent="0.25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1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 spans="1:49" x14ac:dyDescent="0.25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5"/>
    </row>
    <row r="449" spans="1:49" x14ac:dyDescent="0.25">
      <c r="A449" s="11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2"/>
    </row>
    <row r="450" spans="1:49" x14ac:dyDescent="0.25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5"/>
    </row>
    <row r="451" spans="1:49" x14ac:dyDescent="0.25">
      <c r="A451" s="11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2"/>
    </row>
    <row r="452" spans="1:49" x14ac:dyDescent="0.25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5"/>
    </row>
    <row r="453" spans="1:49" x14ac:dyDescent="0.25">
      <c r="A453" s="11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2"/>
    </row>
    <row r="454" spans="1:49" x14ac:dyDescent="0.25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5"/>
    </row>
    <row r="455" spans="1:49" x14ac:dyDescent="0.25">
      <c r="A455" s="11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2"/>
    </row>
    <row r="456" spans="1:49" x14ac:dyDescent="0.25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5"/>
    </row>
    <row r="457" spans="1:49" x14ac:dyDescent="0.25">
      <c r="A457" s="11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 spans="1:49" x14ac:dyDescent="0.25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1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 spans="1:49" x14ac:dyDescent="0.25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1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spans="1:49" x14ac:dyDescent="0.25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1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spans="1:49" x14ac:dyDescent="0.25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1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 spans="1:49" x14ac:dyDescent="0.25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5"/>
    </row>
    <row r="467" spans="1:49" x14ac:dyDescent="0.25">
      <c r="A467" s="11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2"/>
    </row>
    <row r="468" spans="1:49" x14ac:dyDescent="0.25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5"/>
    </row>
    <row r="469" spans="1:49" x14ac:dyDescent="0.25">
      <c r="A469" s="11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2"/>
    </row>
    <row r="470" spans="1:49" x14ac:dyDescent="0.25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5"/>
    </row>
    <row r="471" spans="1:49" x14ac:dyDescent="0.25">
      <c r="A471" s="11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2"/>
    </row>
    <row r="472" spans="1:49" x14ac:dyDescent="0.25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5"/>
    </row>
    <row r="473" spans="1:49" x14ac:dyDescent="0.25">
      <c r="A473" s="11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2"/>
    </row>
    <row r="474" spans="1:49" x14ac:dyDescent="0.25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5"/>
    </row>
    <row r="475" spans="1:49" x14ac:dyDescent="0.25">
      <c r="A475" s="11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spans="1:49" x14ac:dyDescent="0.25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1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 spans="1:49" x14ac:dyDescent="0.25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1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 spans="1:49" x14ac:dyDescent="0.25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1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spans="1:49" x14ac:dyDescent="0.25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1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spans="1:49" x14ac:dyDescent="0.25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5"/>
    </row>
    <row r="485" spans="1:49" x14ac:dyDescent="0.25">
      <c r="A485" s="11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2"/>
    </row>
    <row r="486" spans="1:49" x14ac:dyDescent="0.25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5"/>
    </row>
    <row r="487" spans="1:49" x14ac:dyDescent="0.25">
      <c r="A487" s="11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2"/>
    </row>
    <row r="488" spans="1:49" x14ac:dyDescent="0.25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5"/>
    </row>
    <row r="489" spans="1:49" x14ac:dyDescent="0.25">
      <c r="A489" s="11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2"/>
    </row>
    <row r="490" spans="1:49" x14ac:dyDescent="0.25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5"/>
    </row>
    <row r="491" spans="1:49" x14ac:dyDescent="0.25">
      <c r="A491" s="11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2"/>
    </row>
    <row r="492" spans="1:49" x14ac:dyDescent="0.25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5"/>
    </row>
    <row r="493" spans="1:49" x14ac:dyDescent="0.25">
      <c r="A493" s="11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 spans="1:49" x14ac:dyDescent="0.25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1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spans="1:49" x14ac:dyDescent="0.25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1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  <row r="498" spans="1:49" x14ac:dyDescent="0.25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1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</row>
    <row r="500" spans="1:49" x14ac:dyDescent="0.25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</row>
    <row r="501" spans="1:49" x14ac:dyDescent="0.25">
      <c r="A501" s="11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spans="1:49" x14ac:dyDescent="0.25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5"/>
    </row>
    <row r="503" spans="1:49" x14ac:dyDescent="0.25">
      <c r="A503" s="11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2"/>
    </row>
    <row r="504" spans="1:49" x14ac:dyDescent="0.25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5"/>
    </row>
    <row r="505" spans="1:49" x14ac:dyDescent="0.25">
      <c r="A505" s="11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2"/>
    </row>
    <row r="506" spans="1:49" x14ac:dyDescent="0.25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5"/>
    </row>
    <row r="507" spans="1:49" x14ac:dyDescent="0.25">
      <c r="A507" s="11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2"/>
    </row>
    <row r="508" spans="1:49" x14ac:dyDescent="0.25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5"/>
    </row>
    <row r="509" spans="1:49" x14ac:dyDescent="0.25">
      <c r="A509" s="11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2"/>
    </row>
    <row r="510" spans="1:49" x14ac:dyDescent="0.25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5"/>
    </row>
    <row r="511" spans="1:49" x14ac:dyDescent="0.25">
      <c r="A511" s="11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</row>
    <row r="512" spans="1:49" x14ac:dyDescent="0.25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</row>
    <row r="513" spans="1:49" x14ac:dyDescent="0.25">
      <c r="A513" s="11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spans="1:49" x14ac:dyDescent="0.25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</row>
    <row r="515" spans="1:49" x14ac:dyDescent="0.25">
      <c r="A515" s="11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</row>
    <row r="516" spans="1:49" x14ac:dyDescent="0.25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</row>
    <row r="517" spans="1:49" x14ac:dyDescent="0.25">
      <c r="A517" s="11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spans="1:49" x14ac:dyDescent="0.25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</row>
    <row r="519" spans="1:49" x14ac:dyDescent="0.25">
      <c r="A519" s="11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</row>
    <row r="520" spans="1:49" x14ac:dyDescent="0.25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5"/>
    </row>
    <row r="521" spans="1:49" x14ac:dyDescent="0.25">
      <c r="A521" s="11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2"/>
    </row>
    <row r="522" spans="1:49" x14ac:dyDescent="0.25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5"/>
    </row>
    <row r="523" spans="1:49" x14ac:dyDescent="0.25">
      <c r="A523" s="11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2"/>
    </row>
    <row r="524" spans="1:49" x14ac:dyDescent="0.25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5"/>
    </row>
    <row r="525" spans="1:49" x14ac:dyDescent="0.25">
      <c r="A525" s="11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2"/>
    </row>
    <row r="526" spans="1:49" x14ac:dyDescent="0.25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5"/>
    </row>
    <row r="527" spans="1:49" x14ac:dyDescent="0.25">
      <c r="A527" s="11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2"/>
    </row>
    <row r="528" spans="1:49" x14ac:dyDescent="0.25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5"/>
    </row>
    <row r="529" spans="1:49" x14ac:dyDescent="0.25">
      <c r="A529" s="11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</row>
    <row r="530" spans="1:49" x14ac:dyDescent="0.25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</row>
    <row r="531" spans="1:49" x14ac:dyDescent="0.25">
      <c r="A531" s="11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</row>
    <row r="532" spans="1:49" x14ac:dyDescent="0.25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</row>
    <row r="533" spans="1:49" x14ac:dyDescent="0.25">
      <c r="A533" s="11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</row>
    <row r="534" spans="1:49" x14ac:dyDescent="0.25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</row>
    <row r="535" spans="1:49" x14ac:dyDescent="0.25">
      <c r="A535" s="11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</row>
    <row r="536" spans="1:49" x14ac:dyDescent="0.25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</row>
    <row r="537" spans="1:49" x14ac:dyDescent="0.25">
      <c r="A537" s="11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spans="1:49" x14ac:dyDescent="0.25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5"/>
    </row>
    <row r="539" spans="1:49" x14ac:dyDescent="0.25">
      <c r="A539" s="11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2"/>
    </row>
    <row r="540" spans="1:49" x14ac:dyDescent="0.25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5"/>
    </row>
    <row r="541" spans="1:49" x14ac:dyDescent="0.25">
      <c r="A541" s="11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2"/>
    </row>
    <row r="542" spans="1:49" x14ac:dyDescent="0.25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5"/>
    </row>
    <row r="543" spans="1:49" x14ac:dyDescent="0.25">
      <c r="A543" s="11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2"/>
    </row>
    <row r="544" spans="1:49" x14ac:dyDescent="0.25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5"/>
    </row>
    <row r="545" spans="1:49" x14ac:dyDescent="0.25">
      <c r="A545" s="11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2"/>
    </row>
    <row r="546" spans="1:49" x14ac:dyDescent="0.25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5"/>
    </row>
    <row r="547" spans="1:49" x14ac:dyDescent="0.25">
      <c r="A547" s="11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spans="1:49" x14ac:dyDescent="0.25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</row>
    <row r="549" spans="1:49" x14ac:dyDescent="0.25">
      <c r="A549" s="11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</row>
    <row r="550" spans="1:49" x14ac:dyDescent="0.25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</row>
    <row r="551" spans="1:49" x14ac:dyDescent="0.25">
      <c r="A551" s="11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</row>
    <row r="552" spans="1:49" x14ac:dyDescent="0.25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</row>
    <row r="553" spans="1:49" x14ac:dyDescent="0.25">
      <c r="A553" s="11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</row>
    <row r="554" spans="1:49" x14ac:dyDescent="0.25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</row>
    <row r="555" spans="1:49" x14ac:dyDescent="0.25">
      <c r="A555" s="11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spans="1:49" x14ac:dyDescent="0.25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5"/>
    </row>
    <row r="557" spans="1:49" x14ac:dyDescent="0.25">
      <c r="A557" s="11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2"/>
    </row>
    <row r="558" spans="1:49" x14ac:dyDescent="0.25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5"/>
    </row>
    <row r="559" spans="1:49" x14ac:dyDescent="0.25">
      <c r="A559" s="11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2"/>
    </row>
    <row r="560" spans="1:49" x14ac:dyDescent="0.25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5"/>
    </row>
    <row r="561" spans="1:49" x14ac:dyDescent="0.25">
      <c r="A561" s="11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2"/>
    </row>
    <row r="562" spans="1:49" x14ac:dyDescent="0.25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5"/>
    </row>
    <row r="563" spans="1:49" x14ac:dyDescent="0.25">
      <c r="A563" s="11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2"/>
    </row>
    <row r="564" spans="1:49" x14ac:dyDescent="0.25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5"/>
    </row>
    <row r="565" spans="1:49" x14ac:dyDescent="0.25">
      <c r="A565" s="11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</row>
    <row r="566" spans="1:49" x14ac:dyDescent="0.25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</row>
    <row r="567" spans="1:49" x14ac:dyDescent="0.25">
      <c r="A567" s="11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spans="1:49" x14ac:dyDescent="0.25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</row>
    <row r="569" spans="1:49" x14ac:dyDescent="0.25">
      <c r="A569" s="11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</row>
    <row r="570" spans="1:49" x14ac:dyDescent="0.25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</row>
    <row r="571" spans="1:49" x14ac:dyDescent="0.25">
      <c r="A571" s="11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spans="1:49" x14ac:dyDescent="0.25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</row>
    <row r="573" spans="1:49" x14ac:dyDescent="0.25">
      <c r="A573" s="11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spans="1:49" x14ac:dyDescent="0.25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5"/>
    </row>
    <row r="575" spans="1:49" x14ac:dyDescent="0.25">
      <c r="A575" s="11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2"/>
    </row>
    <row r="576" spans="1:49" x14ac:dyDescent="0.25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5"/>
    </row>
    <row r="577" spans="1:49" x14ac:dyDescent="0.25">
      <c r="A577" s="11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2"/>
    </row>
    <row r="578" spans="1:49" x14ac:dyDescent="0.25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5"/>
    </row>
    <row r="579" spans="1:49" x14ac:dyDescent="0.25">
      <c r="A579" s="11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2"/>
    </row>
    <row r="580" spans="1:49" x14ac:dyDescent="0.25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5"/>
    </row>
    <row r="581" spans="1:49" x14ac:dyDescent="0.25">
      <c r="A581" s="11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2"/>
    </row>
    <row r="582" spans="1:49" x14ac:dyDescent="0.25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5"/>
    </row>
    <row r="583" spans="1:49" x14ac:dyDescent="0.25">
      <c r="A583" s="11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</row>
    <row r="584" spans="1:49" x14ac:dyDescent="0.25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</row>
    <row r="585" spans="1:49" x14ac:dyDescent="0.25">
      <c r="A585" s="11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spans="1:49" x14ac:dyDescent="0.25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</row>
    <row r="587" spans="1:49" x14ac:dyDescent="0.25">
      <c r="A587" s="11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</row>
    <row r="588" spans="1:49" x14ac:dyDescent="0.25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</row>
    <row r="589" spans="1:49" x14ac:dyDescent="0.25">
      <c r="A589" s="11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spans="1:49" x14ac:dyDescent="0.25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</row>
    <row r="591" spans="1:49" x14ac:dyDescent="0.25">
      <c r="A591" s="11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</row>
    <row r="592" spans="1:49" x14ac:dyDescent="0.25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5"/>
    </row>
    <row r="593" spans="1:49" x14ac:dyDescent="0.25">
      <c r="A593" s="11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2"/>
    </row>
    <row r="594" spans="1:49" x14ac:dyDescent="0.25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5"/>
    </row>
    <row r="595" spans="1:49" x14ac:dyDescent="0.25">
      <c r="A595" s="11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2"/>
    </row>
    <row r="596" spans="1:49" x14ac:dyDescent="0.25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5"/>
    </row>
    <row r="597" spans="1:49" x14ac:dyDescent="0.25">
      <c r="A597" s="11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2"/>
    </row>
    <row r="598" spans="1:49" x14ac:dyDescent="0.25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5"/>
    </row>
    <row r="599" spans="1:49" x14ac:dyDescent="0.25">
      <c r="A599" s="11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2"/>
    </row>
    <row r="600" spans="1:49" x14ac:dyDescent="0.25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5"/>
    </row>
    <row r="601" spans="1:49" x14ac:dyDescent="0.25">
      <c r="A601" s="11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spans="1:49" x14ac:dyDescent="0.2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</row>
    <row r="603" spans="1:49" x14ac:dyDescent="0.25">
      <c r="A603" s="11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</row>
    <row r="604" spans="1:49" x14ac:dyDescent="0.2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</row>
    <row r="605" spans="1:49" x14ac:dyDescent="0.25">
      <c r="A605" s="11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spans="1:49" x14ac:dyDescent="0.25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</row>
    <row r="607" spans="1:49" x14ac:dyDescent="0.25">
      <c r="A607" s="11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</row>
    <row r="608" spans="1:49" x14ac:dyDescent="0.2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</row>
    <row r="609" spans="1:49" x14ac:dyDescent="0.25">
      <c r="A609" s="11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spans="1:49" x14ac:dyDescent="0.25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5"/>
    </row>
    <row r="611" spans="1:49" x14ac:dyDescent="0.25">
      <c r="A611" s="11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2"/>
    </row>
    <row r="612" spans="1:49" x14ac:dyDescent="0.25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5"/>
    </row>
    <row r="613" spans="1:49" x14ac:dyDescent="0.25">
      <c r="A613" s="11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2"/>
    </row>
    <row r="614" spans="1:49" x14ac:dyDescent="0.2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5"/>
    </row>
    <row r="615" spans="1:49" x14ac:dyDescent="0.25">
      <c r="A615" s="11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2"/>
    </row>
    <row r="616" spans="1:49" x14ac:dyDescent="0.2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5"/>
    </row>
    <row r="617" spans="1:49" x14ac:dyDescent="0.25">
      <c r="A617" s="11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2"/>
    </row>
    <row r="618" spans="1:49" x14ac:dyDescent="0.2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5"/>
    </row>
    <row r="619" spans="1:49" x14ac:dyDescent="0.25">
      <c r="A619" s="11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</row>
    <row r="620" spans="1:49" x14ac:dyDescent="0.25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</row>
    <row r="621" spans="1:49" x14ac:dyDescent="0.25">
      <c r="A621" s="11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</row>
    <row r="622" spans="1:49" x14ac:dyDescent="0.25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</row>
    <row r="623" spans="1:49" x14ac:dyDescent="0.25">
      <c r="A623" s="11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spans="1:49" x14ac:dyDescent="0.25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</row>
    <row r="625" spans="1:49" x14ac:dyDescent="0.25">
      <c r="A625" s="11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</row>
    <row r="626" spans="1:49" x14ac:dyDescent="0.25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</row>
    <row r="627" spans="1:49" x14ac:dyDescent="0.25">
      <c r="A627" s="11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</row>
    <row r="628" spans="1:49" x14ac:dyDescent="0.25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5"/>
    </row>
    <row r="629" spans="1:49" x14ac:dyDescent="0.25">
      <c r="A629" s="11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2"/>
    </row>
    <row r="630" spans="1:49" x14ac:dyDescent="0.25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5"/>
    </row>
    <row r="631" spans="1:49" x14ac:dyDescent="0.25">
      <c r="A631" s="11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2"/>
    </row>
    <row r="632" spans="1:49" x14ac:dyDescent="0.25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5"/>
    </row>
    <row r="633" spans="1:49" x14ac:dyDescent="0.25">
      <c r="A633" s="11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2"/>
    </row>
    <row r="634" spans="1:49" x14ac:dyDescent="0.25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5"/>
    </row>
    <row r="635" spans="1:49" x14ac:dyDescent="0.25">
      <c r="A635" s="11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2"/>
    </row>
    <row r="636" spans="1:49" x14ac:dyDescent="0.25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5"/>
    </row>
    <row r="637" spans="1:49" x14ac:dyDescent="0.25">
      <c r="A637" s="11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</row>
    <row r="638" spans="1:49" x14ac:dyDescent="0.25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</row>
    <row r="639" spans="1:49" x14ac:dyDescent="0.25">
      <c r="A639" s="11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spans="1:49" x14ac:dyDescent="0.2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</row>
    <row r="641" spans="1:49" x14ac:dyDescent="0.25">
      <c r="A641" s="11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</row>
    <row r="642" spans="1:49" x14ac:dyDescent="0.25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</row>
    <row r="643" spans="1:49" x14ac:dyDescent="0.25">
      <c r="A643" s="11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spans="1:49" x14ac:dyDescent="0.2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</row>
    <row r="645" spans="1:49" x14ac:dyDescent="0.25">
      <c r="A645" s="11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</row>
    <row r="646" spans="1:49" x14ac:dyDescent="0.2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5"/>
    </row>
    <row r="647" spans="1:49" x14ac:dyDescent="0.25">
      <c r="A647" s="11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2"/>
    </row>
    <row r="648" spans="1:49" x14ac:dyDescent="0.25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5"/>
    </row>
    <row r="649" spans="1:49" x14ac:dyDescent="0.25">
      <c r="A649" s="11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2"/>
    </row>
    <row r="650" spans="1:49" x14ac:dyDescent="0.25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5"/>
    </row>
    <row r="651" spans="1:49" x14ac:dyDescent="0.25">
      <c r="A651" s="11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2"/>
    </row>
    <row r="652" spans="1:49" x14ac:dyDescent="0.25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5"/>
    </row>
    <row r="653" spans="1:49" x14ac:dyDescent="0.25">
      <c r="A653" s="11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2"/>
    </row>
    <row r="654" spans="1:49" x14ac:dyDescent="0.25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5"/>
    </row>
    <row r="655" spans="1:49" x14ac:dyDescent="0.25">
      <c r="A655" s="11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</row>
    <row r="656" spans="1:49" x14ac:dyDescent="0.2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</row>
    <row r="657" spans="1:49" x14ac:dyDescent="0.25">
      <c r="A657" s="11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spans="1:49" x14ac:dyDescent="0.2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</row>
    <row r="659" spans="1:49" x14ac:dyDescent="0.25">
      <c r="A659" s="11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spans="1:49" x14ac:dyDescent="0.25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</row>
    <row r="661" spans="1:49" x14ac:dyDescent="0.25">
      <c r="A661" s="11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</row>
    <row r="662" spans="1:49" x14ac:dyDescent="0.25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</row>
    <row r="663" spans="1:49" x14ac:dyDescent="0.25">
      <c r="A663" s="11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</row>
    <row r="664" spans="1:49" x14ac:dyDescent="0.25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5"/>
    </row>
    <row r="665" spans="1:49" x14ac:dyDescent="0.25">
      <c r="A665" s="11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2"/>
    </row>
    <row r="666" spans="1:49" x14ac:dyDescent="0.25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5"/>
    </row>
    <row r="667" spans="1:49" x14ac:dyDescent="0.25">
      <c r="A667" s="11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2"/>
    </row>
    <row r="668" spans="1:49" x14ac:dyDescent="0.25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5"/>
    </row>
    <row r="669" spans="1:49" x14ac:dyDescent="0.25">
      <c r="A669" s="11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2"/>
    </row>
    <row r="670" spans="1:49" x14ac:dyDescent="0.25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5"/>
    </row>
    <row r="671" spans="1:49" x14ac:dyDescent="0.25">
      <c r="A671" s="11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2"/>
    </row>
    <row r="672" spans="1:49" x14ac:dyDescent="0.2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5"/>
    </row>
    <row r="673" spans="1:49" x14ac:dyDescent="0.25">
      <c r="A673" s="11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spans="1:49" x14ac:dyDescent="0.25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</row>
    <row r="675" spans="1:49" x14ac:dyDescent="0.25">
      <c r="A675" s="11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</row>
    <row r="676" spans="1:49" x14ac:dyDescent="0.25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</row>
    <row r="677" spans="1:49" x14ac:dyDescent="0.25">
      <c r="A677" s="11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</row>
    <row r="678" spans="1:49" x14ac:dyDescent="0.25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</row>
    <row r="679" spans="1:49" x14ac:dyDescent="0.25">
      <c r="A679" s="11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spans="1:49" x14ac:dyDescent="0.25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</row>
    <row r="681" spans="1:49" x14ac:dyDescent="0.25">
      <c r="A681" s="11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</row>
    <row r="682" spans="1:49" x14ac:dyDescent="0.25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5"/>
    </row>
    <row r="683" spans="1:49" x14ac:dyDescent="0.25">
      <c r="A683" s="11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2"/>
    </row>
    <row r="684" spans="1:49" x14ac:dyDescent="0.25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5"/>
    </row>
    <row r="685" spans="1:49" x14ac:dyDescent="0.25">
      <c r="A685" s="11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2"/>
    </row>
    <row r="686" spans="1:49" x14ac:dyDescent="0.25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5"/>
    </row>
    <row r="687" spans="1:49" x14ac:dyDescent="0.25">
      <c r="A687" s="11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2"/>
    </row>
    <row r="688" spans="1:49" x14ac:dyDescent="0.2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5"/>
    </row>
    <row r="689" spans="1:49" x14ac:dyDescent="0.25">
      <c r="A689" s="11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2"/>
    </row>
    <row r="690" spans="1:49" x14ac:dyDescent="0.25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5"/>
    </row>
    <row r="691" spans="1:49" x14ac:dyDescent="0.25">
      <c r="A691" s="11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</row>
    <row r="692" spans="1:49" x14ac:dyDescent="0.2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</row>
    <row r="693" spans="1:49" x14ac:dyDescent="0.25">
      <c r="A693" s="11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spans="1:49" x14ac:dyDescent="0.25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</row>
    <row r="695" spans="1:49" x14ac:dyDescent="0.25">
      <c r="A695" s="11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spans="1:49" x14ac:dyDescent="0.2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</row>
    <row r="697" spans="1:49" x14ac:dyDescent="0.25">
      <c r="A697" s="11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</row>
    <row r="698" spans="1:49" x14ac:dyDescent="0.25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</row>
    <row r="699" spans="1:49" x14ac:dyDescent="0.25">
      <c r="A699" s="11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</row>
    <row r="700" spans="1:49" x14ac:dyDescent="0.25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5"/>
    </row>
    <row r="701" spans="1:49" x14ac:dyDescent="0.25">
      <c r="A701" s="11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2"/>
    </row>
    <row r="702" spans="1:49" x14ac:dyDescent="0.2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5"/>
    </row>
    <row r="703" spans="1:49" x14ac:dyDescent="0.25">
      <c r="A703" s="11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2"/>
    </row>
    <row r="704" spans="1:49" x14ac:dyDescent="0.25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5"/>
    </row>
    <row r="705" spans="1:49" x14ac:dyDescent="0.25">
      <c r="A705" s="11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2"/>
    </row>
    <row r="706" spans="1:49" x14ac:dyDescent="0.25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5"/>
    </row>
    <row r="707" spans="1:49" x14ac:dyDescent="0.25">
      <c r="A707" s="11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2"/>
    </row>
    <row r="708" spans="1:49" x14ac:dyDescent="0.25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5"/>
    </row>
    <row r="709" spans="1:49" x14ac:dyDescent="0.25">
      <c r="A709" s="11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spans="1:49" x14ac:dyDescent="0.2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</row>
    <row r="711" spans="1:49" x14ac:dyDescent="0.25">
      <c r="A711" s="11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spans="1:49" x14ac:dyDescent="0.25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</row>
    <row r="713" spans="1:49" x14ac:dyDescent="0.25">
      <c r="A713" s="11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</row>
    <row r="714" spans="1:49" x14ac:dyDescent="0.25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</row>
    <row r="715" spans="1:49" x14ac:dyDescent="0.25">
      <c r="A715" s="11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</row>
    <row r="716" spans="1:49" x14ac:dyDescent="0.25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</row>
    <row r="717" spans="1:49" x14ac:dyDescent="0.25">
      <c r="A717" s="11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spans="1:49" x14ac:dyDescent="0.25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5"/>
    </row>
    <row r="719" spans="1:49" x14ac:dyDescent="0.25">
      <c r="A719" s="11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2"/>
    </row>
    <row r="720" spans="1:49" x14ac:dyDescent="0.25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5"/>
    </row>
    <row r="721" spans="1:49" x14ac:dyDescent="0.25">
      <c r="A721" s="11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2"/>
    </row>
    <row r="722" spans="1:49" x14ac:dyDescent="0.25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5"/>
    </row>
    <row r="723" spans="1:49" x14ac:dyDescent="0.25">
      <c r="A723" s="11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2"/>
    </row>
    <row r="724" spans="1:49" x14ac:dyDescent="0.2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5"/>
    </row>
    <row r="725" spans="1:49" x14ac:dyDescent="0.25">
      <c r="A725" s="11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2"/>
    </row>
    <row r="726" spans="1:49" x14ac:dyDescent="0.25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5"/>
    </row>
    <row r="727" spans="1:49" x14ac:dyDescent="0.25">
      <c r="A727" s="11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</row>
    <row r="728" spans="1:49" x14ac:dyDescent="0.25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</row>
    <row r="729" spans="1:49" x14ac:dyDescent="0.25">
      <c r="A729" s="11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spans="1:49" x14ac:dyDescent="0.25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</row>
    <row r="731" spans="1:49" x14ac:dyDescent="0.25">
      <c r="A731" s="11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spans="1:49" x14ac:dyDescent="0.25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</row>
    <row r="733" spans="1:49" x14ac:dyDescent="0.25">
      <c r="A733" s="11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spans="1:49" x14ac:dyDescent="0.2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</row>
    <row r="735" spans="1:49" x14ac:dyDescent="0.25">
      <c r="A735" s="11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spans="1:49" x14ac:dyDescent="0.25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5"/>
    </row>
    <row r="737" spans="1:49" x14ac:dyDescent="0.25">
      <c r="A737" s="11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2"/>
    </row>
    <row r="738" spans="1:49" x14ac:dyDescent="0.25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5"/>
    </row>
    <row r="739" spans="1:49" x14ac:dyDescent="0.25">
      <c r="A739" s="11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2"/>
    </row>
    <row r="740" spans="1:49" x14ac:dyDescent="0.25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5"/>
    </row>
    <row r="741" spans="1:49" x14ac:dyDescent="0.25">
      <c r="A741" s="11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2"/>
    </row>
    <row r="742" spans="1:49" x14ac:dyDescent="0.25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5"/>
    </row>
    <row r="743" spans="1:49" x14ac:dyDescent="0.25">
      <c r="A743" s="11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2"/>
    </row>
    <row r="744" spans="1:49" x14ac:dyDescent="0.25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5"/>
    </row>
    <row r="745" spans="1:49" x14ac:dyDescent="0.25">
      <c r="A745" s="11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</row>
    <row r="746" spans="1:49" x14ac:dyDescent="0.25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</row>
    <row r="747" spans="1:49" x14ac:dyDescent="0.25">
      <c r="A747" s="11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</row>
    <row r="748" spans="1:49" x14ac:dyDescent="0.25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</row>
    <row r="749" spans="1:49" x14ac:dyDescent="0.25">
      <c r="A749" s="11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</row>
    <row r="750" spans="1:49" x14ac:dyDescent="0.25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</row>
    <row r="751" spans="1:49" x14ac:dyDescent="0.25">
      <c r="A751" s="11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</row>
    <row r="752" spans="1:49" x14ac:dyDescent="0.25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</row>
    <row r="753" spans="1:49" x14ac:dyDescent="0.25">
      <c r="A753" s="11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</row>
    <row r="754" spans="1:49" x14ac:dyDescent="0.2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5"/>
    </row>
    <row r="755" spans="1:49" x14ac:dyDescent="0.25">
      <c r="A755" s="11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2"/>
    </row>
    <row r="756" spans="1:49" x14ac:dyDescent="0.25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5"/>
    </row>
    <row r="757" spans="1:49" x14ac:dyDescent="0.25">
      <c r="A757" s="11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2"/>
    </row>
    <row r="758" spans="1:49" x14ac:dyDescent="0.25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5"/>
    </row>
    <row r="759" spans="1:49" x14ac:dyDescent="0.25">
      <c r="A759" s="11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2"/>
    </row>
    <row r="760" spans="1:49" x14ac:dyDescent="0.25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5"/>
    </row>
    <row r="761" spans="1:49" x14ac:dyDescent="0.25">
      <c r="A761" s="11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2"/>
    </row>
    <row r="762" spans="1:49" x14ac:dyDescent="0.25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5"/>
    </row>
    <row r="763" spans="1:49" x14ac:dyDescent="0.25">
      <c r="A763" s="11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</row>
    <row r="764" spans="1:49" x14ac:dyDescent="0.25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</row>
    <row r="765" spans="1:49" x14ac:dyDescent="0.25">
      <c r="A765" s="11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</row>
    <row r="766" spans="1:49" x14ac:dyDescent="0.25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</row>
    <row r="767" spans="1:49" x14ac:dyDescent="0.25">
      <c r="A767" s="11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</row>
    <row r="768" spans="1:49" x14ac:dyDescent="0.25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</row>
    <row r="769" spans="1:49" x14ac:dyDescent="0.25">
      <c r="A769" s="11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</row>
    <row r="770" spans="1:49" x14ac:dyDescent="0.25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</row>
    <row r="771" spans="1:49" x14ac:dyDescent="0.25">
      <c r="A771" s="11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</row>
    <row r="772" spans="1:49" x14ac:dyDescent="0.25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5"/>
    </row>
    <row r="773" spans="1:49" x14ac:dyDescent="0.25">
      <c r="A773" s="11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2"/>
    </row>
    <row r="774" spans="1:49" x14ac:dyDescent="0.25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5"/>
    </row>
    <row r="775" spans="1:49" x14ac:dyDescent="0.25">
      <c r="A775" s="11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2"/>
    </row>
    <row r="776" spans="1:49" x14ac:dyDescent="0.25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5"/>
    </row>
    <row r="777" spans="1:49" x14ac:dyDescent="0.25">
      <c r="A777" s="11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2"/>
    </row>
    <row r="778" spans="1:49" x14ac:dyDescent="0.25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5"/>
    </row>
    <row r="779" spans="1:49" x14ac:dyDescent="0.25">
      <c r="A779" s="11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2"/>
    </row>
    <row r="780" spans="1:49" x14ac:dyDescent="0.25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5"/>
    </row>
    <row r="781" spans="1:49" x14ac:dyDescent="0.25">
      <c r="A781" s="11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 spans="1:49" x14ac:dyDescent="0.25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</row>
    <row r="783" spans="1:49" x14ac:dyDescent="0.25">
      <c r="A783" s="11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</row>
    <row r="784" spans="1:49" x14ac:dyDescent="0.25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</row>
    <row r="785" spans="1:49" x14ac:dyDescent="0.25">
      <c r="A785" s="11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</row>
    <row r="786" spans="1:49" x14ac:dyDescent="0.25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</row>
    <row r="787" spans="1:49" x14ac:dyDescent="0.25">
      <c r="A787" s="11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</row>
    <row r="788" spans="1:49" x14ac:dyDescent="0.25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</row>
    <row r="789" spans="1:49" x14ac:dyDescent="0.25">
      <c r="A789" s="11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</row>
    <row r="790" spans="1:49" x14ac:dyDescent="0.25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5"/>
    </row>
    <row r="791" spans="1:49" x14ac:dyDescent="0.25">
      <c r="A791" s="11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2"/>
    </row>
    <row r="792" spans="1:49" x14ac:dyDescent="0.25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5"/>
    </row>
    <row r="793" spans="1:49" x14ac:dyDescent="0.25">
      <c r="A793" s="11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2"/>
    </row>
    <row r="794" spans="1:49" x14ac:dyDescent="0.25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5"/>
    </row>
    <row r="795" spans="1:49" x14ac:dyDescent="0.25">
      <c r="A795" s="11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2"/>
    </row>
    <row r="796" spans="1:49" x14ac:dyDescent="0.25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5"/>
    </row>
    <row r="797" spans="1:49" x14ac:dyDescent="0.25">
      <c r="A797" s="11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2"/>
    </row>
    <row r="798" spans="1:49" x14ac:dyDescent="0.25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5"/>
    </row>
    <row r="799" spans="1:49" x14ac:dyDescent="0.25">
      <c r="A799" s="11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</row>
    <row r="800" spans="1:49" x14ac:dyDescent="0.25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</row>
    <row r="801" spans="1:49" x14ac:dyDescent="0.25">
      <c r="A801" s="11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 spans="1:49" x14ac:dyDescent="0.25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</row>
    <row r="803" spans="1:49" x14ac:dyDescent="0.25">
      <c r="A803" s="11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</row>
    <row r="804" spans="1:49" x14ac:dyDescent="0.25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</row>
    <row r="805" spans="1:49" x14ac:dyDescent="0.25">
      <c r="A805" s="11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</row>
    <row r="806" spans="1:49" x14ac:dyDescent="0.25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</row>
    <row r="807" spans="1:49" x14ac:dyDescent="0.25">
      <c r="A807" s="11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</row>
    <row r="808" spans="1:49" x14ac:dyDescent="0.25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5"/>
    </row>
    <row r="809" spans="1:49" x14ac:dyDescent="0.25">
      <c r="A809" s="11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2"/>
    </row>
    <row r="810" spans="1:49" x14ac:dyDescent="0.25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5"/>
    </row>
    <row r="811" spans="1:49" x14ac:dyDescent="0.25">
      <c r="A811" s="11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2"/>
    </row>
    <row r="812" spans="1:49" x14ac:dyDescent="0.25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5"/>
    </row>
    <row r="813" spans="1:49" x14ac:dyDescent="0.25">
      <c r="A813" s="11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2"/>
    </row>
    <row r="814" spans="1:49" x14ac:dyDescent="0.25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5"/>
    </row>
    <row r="815" spans="1:49" x14ac:dyDescent="0.25">
      <c r="A815" s="11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2"/>
    </row>
    <row r="816" spans="1:49" x14ac:dyDescent="0.25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5"/>
    </row>
    <row r="817" spans="1:49" x14ac:dyDescent="0.25">
      <c r="A817" s="11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 spans="1:49" x14ac:dyDescent="0.25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</row>
    <row r="819" spans="1:49" x14ac:dyDescent="0.25">
      <c r="A819" s="11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</row>
    <row r="820" spans="1:49" x14ac:dyDescent="0.25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</row>
    <row r="821" spans="1:49" x14ac:dyDescent="0.25">
      <c r="A821" s="11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 spans="1:49" x14ac:dyDescent="0.25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</row>
    <row r="823" spans="1:49" x14ac:dyDescent="0.25">
      <c r="A823" s="11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 spans="1:49" x14ac:dyDescent="0.25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49" x14ac:dyDescent="0.25">
      <c r="A825" s="11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 spans="1:49" x14ac:dyDescent="0.25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5"/>
    </row>
    <row r="827" spans="1:49" x14ac:dyDescent="0.25">
      <c r="A827" s="11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2"/>
    </row>
    <row r="828" spans="1:49" x14ac:dyDescent="0.25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5"/>
    </row>
    <row r="829" spans="1:49" x14ac:dyDescent="0.25">
      <c r="A829" s="11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2"/>
    </row>
    <row r="830" spans="1:49" x14ac:dyDescent="0.25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5"/>
    </row>
    <row r="831" spans="1:49" x14ac:dyDescent="0.25">
      <c r="A831" s="11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2"/>
    </row>
    <row r="832" spans="1:49" x14ac:dyDescent="0.25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5"/>
    </row>
    <row r="833" spans="1:49" x14ac:dyDescent="0.25">
      <c r="A833" s="11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2"/>
    </row>
    <row r="834" spans="1:49" x14ac:dyDescent="0.25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5"/>
    </row>
    <row r="835" spans="1:49" x14ac:dyDescent="0.25">
      <c r="A835" s="11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</row>
    <row r="836" spans="1:49" x14ac:dyDescent="0.25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x14ac:dyDescent="0.25">
      <c r="A837" s="11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</row>
    <row r="838" spans="1:49" x14ac:dyDescent="0.25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x14ac:dyDescent="0.25">
      <c r="A839" s="11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 spans="1:49" x14ac:dyDescent="0.25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x14ac:dyDescent="0.25">
      <c r="A841" s="11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</row>
    <row r="842" spans="1:49" x14ac:dyDescent="0.25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x14ac:dyDescent="0.25">
      <c r="A843" s="11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</row>
    <row r="844" spans="1:49" x14ac:dyDescent="0.25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5"/>
    </row>
    <row r="845" spans="1:49" x14ac:dyDescent="0.25">
      <c r="A845" s="11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2"/>
    </row>
    <row r="846" spans="1:49" x14ac:dyDescent="0.25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5"/>
    </row>
    <row r="847" spans="1:49" x14ac:dyDescent="0.25">
      <c r="A847" s="11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2"/>
    </row>
    <row r="848" spans="1:49" x14ac:dyDescent="0.25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5"/>
    </row>
    <row r="849" spans="1:49" x14ac:dyDescent="0.25">
      <c r="A849" s="11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2"/>
    </row>
    <row r="850" spans="1:49" x14ac:dyDescent="0.25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5"/>
    </row>
    <row r="851" spans="1:49" x14ac:dyDescent="0.25">
      <c r="A851" s="11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2"/>
    </row>
    <row r="852" spans="1:49" x14ac:dyDescent="0.25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5"/>
    </row>
    <row r="853" spans="1:49" x14ac:dyDescent="0.25">
      <c r="A853" s="11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 spans="1:49" x14ac:dyDescent="0.25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x14ac:dyDescent="0.25">
      <c r="A855" s="11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 spans="1:49" x14ac:dyDescent="0.25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</row>
    <row r="857" spans="1:49" x14ac:dyDescent="0.25">
      <c r="A857" s="11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 spans="1:49" x14ac:dyDescent="0.25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</row>
    <row r="859" spans="1:49" x14ac:dyDescent="0.25">
      <c r="A859" s="11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 spans="1:49" x14ac:dyDescent="0.25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</row>
    <row r="861" spans="1:49" x14ac:dyDescent="0.25">
      <c r="A861" s="11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 spans="1:49" x14ac:dyDescent="0.25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5"/>
    </row>
    <row r="863" spans="1:49" x14ac:dyDescent="0.25">
      <c r="A863" s="11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2"/>
    </row>
    <row r="864" spans="1:49" x14ac:dyDescent="0.25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5"/>
    </row>
    <row r="865" spans="1:49" x14ac:dyDescent="0.25">
      <c r="A865" s="11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2"/>
    </row>
    <row r="866" spans="1:49" x14ac:dyDescent="0.25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5"/>
    </row>
    <row r="867" spans="1:49" x14ac:dyDescent="0.25">
      <c r="A867" s="11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2"/>
    </row>
    <row r="868" spans="1:49" x14ac:dyDescent="0.25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5"/>
    </row>
    <row r="869" spans="1:49" x14ac:dyDescent="0.25">
      <c r="A869" s="11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2"/>
    </row>
    <row r="870" spans="1:49" x14ac:dyDescent="0.25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5"/>
    </row>
    <row r="871" spans="1:49" x14ac:dyDescent="0.25">
      <c r="A871" s="11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</row>
    <row r="872" spans="1:49" x14ac:dyDescent="0.25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</row>
    <row r="873" spans="1:49" x14ac:dyDescent="0.25">
      <c r="A873" s="11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</row>
    <row r="874" spans="1:49" x14ac:dyDescent="0.25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</row>
    <row r="875" spans="1:49" x14ac:dyDescent="0.25">
      <c r="A875" s="11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</row>
    <row r="876" spans="1:49" x14ac:dyDescent="0.25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</row>
    <row r="877" spans="1:49" x14ac:dyDescent="0.25">
      <c r="A877" s="11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</row>
    <row r="878" spans="1:49" x14ac:dyDescent="0.25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</row>
    <row r="879" spans="1:49" x14ac:dyDescent="0.25">
      <c r="A879" s="11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 spans="1:49" x14ac:dyDescent="0.25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5"/>
    </row>
    <row r="881" spans="1:49" x14ac:dyDescent="0.25">
      <c r="A881" s="11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2"/>
    </row>
    <row r="882" spans="1:49" x14ac:dyDescent="0.25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5"/>
    </row>
    <row r="883" spans="1:49" x14ac:dyDescent="0.25">
      <c r="A883" s="11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2"/>
    </row>
    <row r="884" spans="1:49" x14ac:dyDescent="0.25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5"/>
    </row>
    <row r="885" spans="1:49" x14ac:dyDescent="0.25">
      <c r="A885" s="11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2"/>
    </row>
    <row r="886" spans="1:49" x14ac:dyDescent="0.25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5"/>
    </row>
    <row r="887" spans="1:49" x14ac:dyDescent="0.25">
      <c r="A887" s="11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2"/>
    </row>
    <row r="888" spans="1:49" x14ac:dyDescent="0.25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5"/>
    </row>
    <row r="889" spans="1:49" x14ac:dyDescent="0.25">
      <c r="A889" s="11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</row>
    <row r="890" spans="1:49" x14ac:dyDescent="0.25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</row>
    <row r="891" spans="1:49" x14ac:dyDescent="0.25">
      <c r="A891" s="11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</row>
    <row r="892" spans="1:49" x14ac:dyDescent="0.25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</row>
    <row r="893" spans="1:49" x14ac:dyDescent="0.25">
      <c r="A893" s="11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</row>
    <row r="894" spans="1:49" x14ac:dyDescent="0.25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</row>
    <row r="895" spans="1:49" x14ac:dyDescent="0.25">
      <c r="A895" s="11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</row>
    <row r="896" spans="1:49" x14ac:dyDescent="0.25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x14ac:dyDescent="0.25">
      <c r="A897" s="11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</row>
    <row r="898" spans="1:49" x14ac:dyDescent="0.25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5"/>
    </row>
    <row r="899" spans="1:49" x14ac:dyDescent="0.25">
      <c r="A899" s="11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2"/>
    </row>
    <row r="900" spans="1:49" x14ac:dyDescent="0.25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5"/>
    </row>
    <row r="901" spans="1:49" x14ac:dyDescent="0.25">
      <c r="A901" s="11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2"/>
    </row>
    <row r="902" spans="1:49" x14ac:dyDescent="0.25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5"/>
    </row>
    <row r="903" spans="1:49" x14ac:dyDescent="0.25">
      <c r="A903" s="11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2"/>
    </row>
    <row r="904" spans="1:49" x14ac:dyDescent="0.25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5"/>
    </row>
    <row r="905" spans="1:49" x14ac:dyDescent="0.25">
      <c r="A905" s="11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2"/>
    </row>
    <row r="906" spans="1:49" x14ac:dyDescent="0.25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5"/>
    </row>
    <row r="907" spans="1:49" x14ac:dyDescent="0.25">
      <c r="A907" s="11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 spans="1:49" x14ac:dyDescent="0.25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x14ac:dyDescent="0.25">
      <c r="A909" s="11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</row>
    <row r="910" spans="1:49" x14ac:dyDescent="0.25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x14ac:dyDescent="0.25">
      <c r="A911" s="11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</row>
    <row r="912" spans="1:49" x14ac:dyDescent="0.25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x14ac:dyDescent="0.25">
      <c r="A913" s="11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</row>
    <row r="914" spans="1:49" x14ac:dyDescent="0.25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x14ac:dyDescent="0.25">
      <c r="A915" s="11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 spans="1:49" x14ac:dyDescent="0.25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5"/>
    </row>
    <row r="917" spans="1:49" x14ac:dyDescent="0.25">
      <c r="A917" s="11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2"/>
    </row>
    <row r="918" spans="1:49" x14ac:dyDescent="0.25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5"/>
    </row>
    <row r="919" spans="1:49" x14ac:dyDescent="0.25">
      <c r="A919" s="11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2"/>
    </row>
    <row r="920" spans="1:49" x14ac:dyDescent="0.25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5"/>
    </row>
    <row r="921" spans="1:49" x14ac:dyDescent="0.25">
      <c r="A921" s="11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2"/>
    </row>
    <row r="922" spans="1:49" x14ac:dyDescent="0.25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5"/>
    </row>
    <row r="923" spans="1:49" x14ac:dyDescent="0.25">
      <c r="A923" s="11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2"/>
    </row>
    <row r="924" spans="1:49" x14ac:dyDescent="0.25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5"/>
    </row>
    <row r="925" spans="1:49" x14ac:dyDescent="0.25">
      <c r="A925" s="11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 spans="1:49" x14ac:dyDescent="0.25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x14ac:dyDescent="0.25">
      <c r="A927" s="11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 spans="1:49" x14ac:dyDescent="0.25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x14ac:dyDescent="0.25">
      <c r="A929" s="11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 spans="1:49" x14ac:dyDescent="0.25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x14ac:dyDescent="0.25">
      <c r="A931" s="11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 spans="1:49" x14ac:dyDescent="0.25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x14ac:dyDescent="0.25">
      <c r="A933" s="11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 spans="1:49" x14ac:dyDescent="0.25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5"/>
    </row>
    <row r="935" spans="1:49" x14ac:dyDescent="0.25">
      <c r="A935" s="11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2"/>
    </row>
    <row r="936" spans="1:49" x14ac:dyDescent="0.25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5"/>
    </row>
    <row r="937" spans="1:49" x14ac:dyDescent="0.25">
      <c r="A937" s="11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2"/>
    </row>
    <row r="938" spans="1:49" x14ac:dyDescent="0.25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5"/>
    </row>
    <row r="939" spans="1:49" x14ac:dyDescent="0.25">
      <c r="A939" s="11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2"/>
    </row>
    <row r="940" spans="1:49" x14ac:dyDescent="0.25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5"/>
    </row>
    <row r="941" spans="1:49" x14ac:dyDescent="0.25">
      <c r="A941" s="11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2"/>
    </row>
    <row r="942" spans="1:49" x14ac:dyDescent="0.25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5"/>
    </row>
    <row r="943" spans="1:49" x14ac:dyDescent="0.25">
      <c r="A943" s="11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 spans="1:49" x14ac:dyDescent="0.25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x14ac:dyDescent="0.25">
      <c r="A945" s="11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 spans="1:49" x14ac:dyDescent="0.25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x14ac:dyDescent="0.25">
      <c r="A947" s="11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 spans="1:49" x14ac:dyDescent="0.25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x14ac:dyDescent="0.25">
      <c r="A949" s="11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 spans="1:49" x14ac:dyDescent="0.25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x14ac:dyDescent="0.25">
      <c r="A951" s="11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 spans="1:49" x14ac:dyDescent="0.25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5"/>
    </row>
    <row r="953" spans="1:49" x14ac:dyDescent="0.25">
      <c r="A953" s="11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2"/>
    </row>
    <row r="954" spans="1:49" x14ac:dyDescent="0.25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5"/>
    </row>
    <row r="955" spans="1:49" x14ac:dyDescent="0.25">
      <c r="A955" s="11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2"/>
    </row>
    <row r="956" spans="1:49" x14ac:dyDescent="0.25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5"/>
    </row>
    <row r="957" spans="1:49" x14ac:dyDescent="0.25">
      <c r="A957" s="11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2"/>
    </row>
    <row r="958" spans="1:49" x14ac:dyDescent="0.25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5"/>
    </row>
    <row r="959" spans="1:49" x14ac:dyDescent="0.25">
      <c r="A959" s="11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2"/>
    </row>
    <row r="960" spans="1:49" x14ac:dyDescent="0.25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5"/>
    </row>
    <row r="961" spans="1:49" x14ac:dyDescent="0.25">
      <c r="A961" s="11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 spans="1:49" x14ac:dyDescent="0.25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x14ac:dyDescent="0.25">
      <c r="A963" s="11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 spans="1:49" x14ac:dyDescent="0.25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x14ac:dyDescent="0.25">
      <c r="A965" s="11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 spans="1:49" x14ac:dyDescent="0.25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x14ac:dyDescent="0.25">
      <c r="A967" s="11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 spans="1:49" x14ac:dyDescent="0.25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x14ac:dyDescent="0.25">
      <c r="A969" s="11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 spans="1:49" x14ac:dyDescent="0.25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5"/>
    </row>
    <row r="971" spans="1:49" x14ac:dyDescent="0.25">
      <c r="A971" s="11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2"/>
    </row>
    <row r="972" spans="1:49" x14ac:dyDescent="0.25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5"/>
    </row>
    <row r="973" spans="1:49" x14ac:dyDescent="0.25">
      <c r="A973" s="11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2"/>
    </row>
    <row r="974" spans="1:49" x14ac:dyDescent="0.25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5"/>
    </row>
    <row r="975" spans="1:49" x14ac:dyDescent="0.25">
      <c r="A975" s="11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2"/>
    </row>
    <row r="976" spans="1:49" x14ac:dyDescent="0.25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5"/>
    </row>
    <row r="977" spans="1:49" x14ac:dyDescent="0.25">
      <c r="A977" s="11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2"/>
    </row>
    <row r="978" spans="1:49" x14ac:dyDescent="0.25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5"/>
    </row>
    <row r="979" spans="1:49" x14ac:dyDescent="0.25">
      <c r="A979" s="11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 spans="1:49" x14ac:dyDescent="0.25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x14ac:dyDescent="0.25">
      <c r="A981" s="11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 spans="1:49" x14ac:dyDescent="0.25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x14ac:dyDescent="0.25">
      <c r="A983" s="11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 spans="1:49" x14ac:dyDescent="0.25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x14ac:dyDescent="0.25">
      <c r="A985" s="11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 spans="1:49" x14ac:dyDescent="0.25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x14ac:dyDescent="0.25">
      <c r="A987" s="11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 spans="1:49" x14ac:dyDescent="0.25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5"/>
    </row>
    <row r="989" spans="1:49" x14ac:dyDescent="0.25">
      <c r="A989" s="11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2"/>
    </row>
    <row r="990" spans="1:49" x14ac:dyDescent="0.25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5"/>
    </row>
    <row r="991" spans="1:49" x14ac:dyDescent="0.25">
      <c r="A991" s="11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2"/>
    </row>
    <row r="992" spans="1:49" x14ac:dyDescent="0.25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5"/>
    </row>
    <row r="993" spans="1:49" x14ac:dyDescent="0.25">
      <c r="A993" s="11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2"/>
    </row>
    <row r="994" spans="1:49" x14ac:dyDescent="0.25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5"/>
    </row>
    <row r="995" spans="1:49" x14ac:dyDescent="0.25">
      <c r="A995" s="11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2"/>
    </row>
    <row r="996" spans="1:49" x14ac:dyDescent="0.25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5"/>
    </row>
    <row r="997" spans="1:49" x14ac:dyDescent="0.25">
      <c r="A997" s="11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 spans="1:49" x14ac:dyDescent="0.25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x14ac:dyDescent="0.25">
      <c r="A999" s="11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 spans="1:49" x14ac:dyDescent="0.25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x14ac:dyDescent="0.25">
      <c r="A1001" s="11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</row>
    <row r="1002" spans="1:49" x14ac:dyDescent="0.25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x14ac:dyDescent="0.25">
      <c r="A1003" s="11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</row>
    <row r="1004" spans="1:49" x14ac:dyDescent="0.25">
      <c r="A1004" s="1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x14ac:dyDescent="0.25">
      <c r="A1005" s="11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</row>
    <row r="1006" spans="1:49" x14ac:dyDescent="0.25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5"/>
    </row>
    <row r="1007" spans="1:49" x14ac:dyDescent="0.25">
      <c r="A1007" s="11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2"/>
    </row>
    <row r="1008" spans="1:49" x14ac:dyDescent="0.25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5"/>
    </row>
    <row r="1009" spans="1:49" x14ac:dyDescent="0.25">
      <c r="A1009" s="11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2"/>
    </row>
    <row r="1010" spans="1:49" x14ac:dyDescent="0.25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5"/>
    </row>
    <row r="1011" spans="1:49" x14ac:dyDescent="0.25">
      <c r="A1011" s="11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2"/>
    </row>
    <row r="1012" spans="1:49" x14ac:dyDescent="0.25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5"/>
    </row>
    <row r="1013" spans="1:49" x14ac:dyDescent="0.25">
      <c r="A1013" s="11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2"/>
    </row>
    <row r="1014" spans="1:49" x14ac:dyDescent="0.25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5"/>
    </row>
    <row r="1015" spans="1:49" x14ac:dyDescent="0.25">
      <c r="A1015" s="11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</row>
    <row r="1016" spans="1:49" x14ac:dyDescent="0.25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x14ac:dyDescent="0.25">
      <c r="A1017" s="11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</row>
    <row r="1018" spans="1:49" x14ac:dyDescent="0.25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x14ac:dyDescent="0.25">
      <c r="A1019" s="11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</row>
    <row r="1020" spans="1:49" x14ac:dyDescent="0.25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x14ac:dyDescent="0.25">
      <c r="A1021" s="11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</row>
    <row r="1022" spans="1:49" x14ac:dyDescent="0.25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x14ac:dyDescent="0.25">
      <c r="A1023" s="11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</row>
    <row r="1024" spans="1:49" x14ac:dyDescent="0.25">
      <c r="A1024" s="11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5"/>
    </row>
    <row r="1025" spans="1:49" x14ac:dyDescent="0.25">
      <c r="A1025" s="11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2"/>
    </row>
    <row r="1026" spans="1:49" x14ac:dyDescent="0.25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5"/>
    </row>
    <row r="1027" spans="1:49" x14ac:dyDescent="0.25">
      <c r="A1027" s="11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2"/>
    </row>
    <row r="1028" spans="1:49" x14ac:dyDescent="0.25">
      <c r="A1028" s="11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5"/>
    </row>
    <row r="1029" spans="1:49" x14ac:dyDescent="0.25">
      <c r="A1029" s="11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2"/>
    </row>
    <row r="1030" spans="1:49" x14ac:dyDescent="0.25">
      <c r="A1030" s="11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5"/>
    </row>
    <row r="1031" spans="1:49" x14ac:dyDescent="0.25">
      <c r="A1031" s="11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2"/>
    </row>
    <row r="1032" spans="1:49" x14ac:dyDescent="0.25">
      <c r="A1032" s="11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5"/>
    </row>
    <row r="1033" spans="1:49" x14ac:dyDescent="0.25">
      <c r="A1033" s="11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</row>
    <row r="1034" spans="1:49" x14ac:dyDescent="0.25">
      <c r="A1034" s="11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x14ac:dyDescent="0.25">
      <c r="A1035" s="11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</row>
    <row r="1036" spans="1:49" x14ac:dyDescent="0.25">
      <c r="A1036" s="11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x14ac:dyDescent="0.25">
      <c r="A1037" s="11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</row>
    <row r="1038" spans="1:49" x14ac:dyDescent="0.25">
      <c r="A1038" s="11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x14ac:dyDescent="0.25">
      <c r="A1039" s="11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</row>
    <row r="1040" spans="1:49" x14ac:dyDescent="0.25">
      <c r="A1040" s="11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x14ac:dyDescent="0.25">
      <c r="A1041" s="11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</row>
    <row r="1042" spans="1:49" x14ac:dyDescent="0.25">
      <c r="A1042" s="11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5"/>
    </row>
    <row r="1043" spans="1:49" x14ac:dyDescent="0.25">
      <c r="A1043" s="11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2"/>
    </row>
    <row r="1044" spans="1:49" x14ac:dyDescent="0.25">
      <c r="A1044" s="11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5"/>
    </row>
    <row r="1045" spans="1:49" x14ac:dyDescent="0.25">
      <c r="A1045" s="11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2"/>
    </row>
    <row r="1046" spans="1:49" x14ac:dyDescent="0.25">
      <c r="A1046" s="11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5"/>
    </row>
    <row r="1047" spans="1:49" x14ac:dyDescent="0.25">
      <c r="A1047" s="11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2"/>
    </row>
    <row r="1048" spans="1:49" x14ac:dyDescent="0.25">
      <c r="A1048" s="11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5"/>
    </row>
    <row r="1049" spans="1:49" x14ac:dyDescent="0.25">
      <c r="A1049" s="11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2"/>
    </row>
    <row r="1050" spans="1:49" x14ac:dyDescent="0.25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5"/>
    </row>
    <row r="1051" spans="1:49" x14ac:dyDescent="0.25">
      <c r="A1051" s="11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</row>
    <row r="1052" spans="1:49" x14ac:dyDescent="0.25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x14ac:dyDescent="0.25">
      <c r="A1053" s="11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</row>
    <row r="1054" spans="1:49" x14ac:dyDescent="0.25">
      <c r="A1054" s="11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x14ac:dyDescent="0.25">
      <c r="A1055" s="11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</row>
    <row r="1056" spans="1:49" x14ac:dyDescent="0.25">
      <c r="A1056" s="11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x14ac:dyDescent="0.25">
      <c r="A1057" s="11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</row>
    <row r="1058" spans="1:49" x14ac:dyDescent="0.25">
      <c r="A1058" s="11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x14ac:dyDescent="0.25">
      <c r="A1059" s="11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</row>
    <row r="1060" spans="1:49" x14ac:dyDescent="0.25">
      <c r="A1060" s="11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5"/>
    </row>
    <row r="1061" spans="1:49" x14ac:dyDescent="0.25">
      <c r="A1061" s="11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2"/>
    </row>
    <row r="1062" spans="1:49" x14ac:dyDescent="0.25">
      <c r="A1062" s="11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5"/>
    </row>
    <row r="1063" spans="1:49" x14ac:dyDescent="0.25">
      <c r="A1063" s="11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2"/>
    </row>
    <row r="1064" spans="1:49" x14ac:dyDescent="0.25">
      <c r="A1064" s="11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5"/>
    </row>
    <row r="1065" spans="1:49" x14ac:dyDescent="0.25">
      <c r="A1065" s="11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2"/>
    </row>
    <row r="1066" spans="1:49" x14ac:dyDescent="0.25">
      <c r="A1066" s="11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5"/>
    </row>
    <row r="1067" spans="1:49" x14ac:dyDescent="0.25">
      <c r="A1067" s="11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2"/>
    </row>
    <row r="1068" spans="1:49" x14ac:dyDescent="0.25">
      <c r="A1068" s="11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5"/>
    </row>
    <row r="1069" spans="1:49" x14ac:dyDescent="0.25">
      <c r="A1069" s="11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</row>
    <row r="1070" spans="1:49" x14ac:dyDescent="0.25">
      <c r="A1070" s="11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x14ac:dyDescent="0.25">
      <c r="A1071" s="11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</row>
    <row r="1072" spans="1:49" x14ac:dyDescent="0.25">
      <c r="A1072" s="11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x14ac:dyDescent="0.25">
      <c r="A1073" s="11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</row>
    <row r="1074" spans="1:49" x14ac:dyDescent="0.25">
      <c r="A1074" s="11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x14ac:dyDescent="0.25">
      <c r="A1075" s="11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</row>
    <row r="1076" spans="1:49" x14ac:dyDescent="0.25">
      <c r="A1076" s="11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x14ac:dyDescent="0.25">
      <c r="A1077" s="11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</row>
    <row r="1078" spans="1:49" x14ac:dyDescent="0.25">
      <c r="A1078" s="11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5"/>
    </row>
    <row r="1079" spans="1:49" x14ac:dyDescent="0.25">
      <c r="A1079" s="11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2"/>
    </row>
    <row r="1080" spans="1:49" x14ac:dyDescent="0.25">
      <c r="A1080" s="11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5"/>
    </row>
    <row r="1081" spans="1:49" x14ac:dyDescent="0.25">
      <c r="A1081" s="11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2"/>
    </row>
    <row r="1082" spans="1:49" x14ac:dyDescent="0.25">
      <c r="A1082" s="11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5"/>
    </row>
    <row r="1083" spans="1:49" x14ac:dyDescent="0.25">
      <c r="A1083" s="11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2"/>
    </row>
    <row r="1084" spans="1:49" x14ac:dyDescent="0.25">
      <c r="A1084" s="11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5"/>
    </row>
    <row r="1085" spans="1:49" x14ac:dyDescent="0.25">
      <c r="A1085" s="11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2"/>
    </row>
    <row r="1086" spans="1:49" x14ac:dyDescent="0.25">
      <c r="A1086" s="11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5"/>
    </row>
    <row r="1087" spans="1:49" x14ac:dyDescent="0.25">
      <c r="A1087" s="11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</row>
    <row r="1088" spans="1:49" x14ac:dyDescent="0.25">
      <c r="A1088" s="11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1:49" x14ac:dyDescent="0.25">
      <c r="A1089" s="11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</row>
    <row r="1090" spans="1:49" x14ac:dyDescent="0.25">
      <c r="A1090" s="11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1:49" x14ac:dyDescent="0.25">
      <c r="A1091" s="11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</row>
    <row r="1092" spans="1:49" x14ac:dyDescent="0.25">
      <c r="A1092" s="11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1:49" x14ac:dyDescent="0.25">
      <c r="A1093" s="11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</row>
    <row r="1094" spans="1:49" x14ac:dyDescent="0.25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1:49" x14ac:dyDescent="0.25">
      <c r="A1095" s="11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</row>
    <row r="1096" spans="1:49" x14ac:dyDescent="0.25">
      <c r="A1096" s="11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5"/>
    </row>
    <row r="1097" spans="1:49" x14ac:dyDescent="0.25">
      <c r="A1097" s="11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2"/>
    </row>
    <row r="1098" spans="1:49" x14ac:dyDescent="0.25">
      <c r="A1098" s="11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5"/>
    </row>
    <row r="1099" spans="1:49" x14ac:dyDescent="0.25">
      <c r="A1099" s="11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2"/>
    </row>
    <row r="1100" spans="1:49" x14ac:dyDescent="0.25">
      <c r="A1100" s="11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5"/>
    </row>
    <row r="1101" spans="1:49" x14ac:dyDescent="0.25">
      <c r="A1101" s="11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2"/>
    </row>
    <row r="1102" spans="1:49" x14ac:dyDescent="0.25">
      <c r="A1102" s="11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5"/>
    </row>
    <row r="1103" spans="1:49" x14ac:dyDescent="0.25">
      <c r="A1103" s="11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2"/>
    </row>
    <row r="1104" spans="1:49" x14ac:dyDescent="0.25">
      <c r="A1104" s="11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5"/>
    </row>
    <row r="1105" spans="1:49" x14ac:dyDescent="0.25">
      <c r="A1105" s="11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</row>
    <row r="1106" spans="1:49" x14ac:dyDescent="0.25">
      <c r="A1106" s="11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1:49" x14ac:dyDescent="0.25">
      <c r="A1107" s="11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</row>
    <row r="1108" spans="1:49" x14ac:dyDescent="0.25">
      <c r="A1108" s="11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1:49" x14ac:dyDescent="0.25">
      <c r="A1109" s="11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</row>
    <row r="1110" spans="1:49" x14ac:dyDescent="0.25">
      <c r="A1110" s="11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1:49" x14ac:dyDescent="0.25">
      <c r="A1111" s="11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</row>
    <row r="1112" spans="1:49" x14ac:dyDescent="0.25">
      <c r="A1112" s="11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1:49" x14ac:dyDescent="0.25">
      <c r="A1113" s="11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</row>
    <row r="1114" spans="1:49" x14ac:dyDescent="0.25">
      <c r="A1114" s="11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5"/>
    </row>
    <row r="1115" spans="1:49" x14ac:dyDescent="0.25">
      <c r="A1115" s="11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2"/>
    </row>
    <row r="1116" spans="1:49" x14ac:dyDescent="0.25">
      <c r="A1116" s="11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5"/>
    </row>
    <row r="1117" spans="1:49" x14ac:dyDescent="0.25">
      <c r="A1117" s="11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2"/>
    </row>
    <row r="1118" spans="1:49" x14ac:dyDescent="0.25">
      <c r="A1118" s="11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5"/>
    </row>
    <row r="1119" spans="1:49" x14ac:dyDescent="0.25">
      <c r="A1119" s="11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2"/>
    </row>
    <row r="1120" spans="1:49" x14ac:dyDescent="0.25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5"/>
    </row>
    <row r="1121" spans="1:49" x14ac:dyDescent="0.25">
      <c r="A1121" s="11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2"/>
    </row>
    <row r="1122" spans="1:49" x14ac:dyDescent="0.25">
      <c r="A1122" s="11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5"/>
    </row>
    <row r="1123" spans="1:49" x14ac:dyDescent="0.25">
      <c r="A1123" s="11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</row>
    <row r="1124" spans="1:49" x14ac:dyDescent="0.25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1:49" x14ac:dyDescent="0.25">
      <c r="A1125" s="11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</row>
    <row r="1126" spans="1:49" x14ac:dyDescent="0.25">
      <c r="A1126" s="11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1:49" x14ac:dyDescent="0.25">
      <c r="A1127" s="11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</row>
    <row r="1128" spans="1:49" x14ac:dyDescent="0.25">
      <c r="A1128" s="11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1:49" x14ac:dyDescent="0.25">
      <c r="A1129" s="11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</row>
    <row r="1130" spans="1:49" x14ac:dyDescent="0.25">
      <c r="A1130" s="11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1:49" x14ac:dyDescent="0.25">
      <c r="A1131" s="11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</row>
    <row r="1132" spans="1:49" x14ac:dyDescent="0.25">
      <c r="A1132" s="11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5"/>
    </row>
    <row r="1133" spans="1:49" x14ac:dyDescent="0.25">
      <c r="A1133" s="11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2"/>
    </row>
    <row r="1134" spans="1:49" x14ac:dyDescent="0.25">
      <c r="A1134" s="11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5"/>
    </row>
    <row r="1135" spans="1:49" x14ac:dyDescent="0.25">
      <c r="A1135" s="11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2"/>
    </row>
    <row r="1136" spans="1:49" x14ac:dyDescent="0.25">
      <c r="A1136" s="11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5"/>
    </row>
    <row r="1137" spans="1:49" x14ac:dyDescent="0.25">
      <c r="A1137" s="11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2"/>
    </row>
    <row r="1138" spans="1:49" x14ac:dyDescent="0.25">
      <c r="A1138" s="11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5"/>
    </row>
    <row r="1139" spans="1:49" x14ac:dyDescent="0.25">
      <c r="A1139" s="11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2"/>
    </row>
    <row r="1140" spans="1:49" x14ac:dyDescent="0.25">
      <c r="A1140" s="11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5"/>
    </row>
    <row r="1141" spans="1:49" x14ac:dyDescent="0.25">
      <c r="A1141" s="11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</row>
    <row r="1142" spans="1:49" x14ac:dyDescent="0.25">
      <c r="A1142" s="11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1:49" x14ac:dyDescent="0.25">
      <c r="A1143" s="11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</row>
    <row r="1144" spans="1:49" x14ac:dyDescent="0.25">
      <c r="A1144" s="11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1:49" x14ac:dyDescent="0.25">
      <c r="A1145" s="11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</row>
    <row r="1146" spans="1:49" x14ac:dyDescent="0.25">
      <c r="A1146" s="11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1:49" x14ac:dyDescent="0.25">
      <c r="A1147" s="11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</row>
    <row r="1148" spans="1:49" x14ac:dyDescent="0.25">
      <c r="A1148" s="11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1:49" x14ac:dyDescent="0.25">
      <c r="A1149" s="11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</row>
    <row r="1150" spans="1:49" x14ac:dyDescent="0.25">
      <c r="A1150" s="11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5"/>
    </row>
    <row r="1151" spans="1:49" x14ac:dyDescent="0.25">
      <c r="A1151" s="11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2"/>
    </row>
    <row r="1152" spans="1:49" x14ac:dyDescent="0.25">
      <c r="A1152" s="11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5"/>
    </row>
    <row r="1153" spans="1:49" x14ac:dyDescent="0.25">
      <c r="A1153" s="11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2"/>
    </row>
    <row r="1154" spans="1:49" x14ac:dyDescent="0.25">
      <c r="A1154" s="11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5"/>
    </row>
    <row r="1155" spans="1:49" x14ac:dyDescent="0.25">
      <c r="A1155" s="11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2"/>
    </row>
    <row r="1156" spans="1:49" x14ac:dyDescent="0.25">
      <c r="A1156" s="11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5"/>
    </row>
    <row r="1157" spans="1:49" x14ac:dyDescent="0.25">
      <c r="A1157" s="11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2"/>
    </row>
    <row r="1158" spans="1:49" x14ac:dyDescent="0.25">
      <c r="A1158" s="11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5"/>
    </row>
    <row r="1159" spans="1:49" x14ac:dyDescent="0.25">
      <c r="A1159" s="11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</row>
    <row r="1160" spans="1:49" x14ac:dyDescent="0.25">
      <c r="A1160" s="11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1:49" x14ac:dyDescent="0.25">
      <c r="A1161" s="11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</row>
    <row r="1162" spans="1:49" x14ac:dyDescent="0.25">
      <c r="A1162" s="11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1:49" x14ac:dyDescent="0.25">
      <c r="A1163" s="11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</row>
    <row r="1164" spans="1:49" x14ac:dyDescent="0.25">
      <c r="A1164" s="11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1:49" x14ac:dyDescent="0.25">
      <c r="A1165" s="11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</row>
    <row r="1166" spans="1:49" x14ac:dyDescent="0.25">
      <c r="A1166" s="11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1:49" x14ac:dyDescent="0.25">
      <c r="A1167" s="11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</row>
    <row r="1168" spans="1:49" x14ac:dyDescent="0.25">
      <c r="A1168" s="11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1"/>
    </row>
    <row r="1169" spans="1:49" x14ac:dyDescent="0.25">
      <c r="A1169" s="11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1"/>
    </row>
    <row r="1170" spans="1:49" x14ac:dyDescent="0.25">
      <c r="A1170" s="11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1"/>
    </row>
    <row r="1171" spans="1:49" x14ac:dyDescent="0.25">
      <c r="A1171" s="11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1"/>
    </row>
    <row r="1172" spans="1:49" x14ac:dyDescent="0.25">
      <c r="A1172" s="11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1"/>
    </row>
    <row r="1173" spans="1:49" x14ac:dyDescent="0.25">
      <c r="A1173" s="11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1"/>
    </row>
    <row r="1174" spans="1:49" x14ac:dyDescent="0.25">
      <c r="A1174" s="11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1"/>
    </row>
    <row r="1175" spans="1:49" x14ac:dyDescent="0.25">
      <c r="A1175" s="11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1"/>
    </row>
    <row r="1176" spans="1:49" x14ac:dyDescent="0.25">
      <c r="A1176" s="11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1"/>
    </row>
    <row r="1177" spans="1:49" x14ac:dyDescent="0.25">
      <c r="A1177" s="11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1"/>
    </row>
    <row r="1178" spans="1:49" x14ac:dyDescent="0.25">
      <c r="A1178" s="11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1"/>
    </row>
    <row r="1179" spans="1:49" x14ac:dyDescent="0.25">
      <c r="A1179" s="11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1"/>
    </row>
    <row r="1180" spans="1:49" x14ac:dyDescent="0.25">
      <c r="A1180" s="11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1"/>
    </row>
    <row r="1181" spans="1:49" x14ac:dyDescent="0.25">
      <c r="A1181" s="11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1"/>
    </row>
    <row r="1182" spans="1:49" x14ac:dyDescent="0.25">
      <c r="A1182" s="11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1"/>
    </row>
    <row r="1183" spans="1:49" x14ac:dyDescent="0.25">
      <c r="A1183" s="11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1"/>
    </row>
    <row r="1184" spans="1:49" x14ac:dyDescent="0.25">
      <c r="A1184" s="11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1"/>
    </row>
    <row r="1185" spans="1:49" x14ac:dyDescent="0.25">
      <c r="A1185" s="11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1"/>
    </row>
    <row r="1186" spans="1:49" x14ac:dyDescent="0.25">
      <c r="A1186" s="11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1"/>
    </row>
    <row r="1187" spans="1:49" x14ac:dyDescent="0.25">
      <c r="A1187" s="11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1"/>
    </row>
    <row r="1188" spans="1:49" x14ac:dyDescent="0.25">
      <c r="A1188" s="11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1"/>
    </row>
    <row r="1189" spans="1:49" x14ac:dyDescent="0.25">
      <c r="A1189" s="11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1"/>
    </row>
    <row r="1190" spans="1:49" x14ac:dyDescent="0.25">
      <c r="A1190" s="11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1"/>
    </row>
    <row r="1191" spans="1:49" x14ac:dyDescent="0.25">
      <c r="A1191" s="11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1"/>
    </row>
    <row r="1192" spans="1:49" x14ac:dyDescent="0.25">
      <c r="A1192" s="11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1"/>
    </row>
    <row r="1193" spans="1:49" x14ac:dyDescent="0.25">
      <c r="A1193" s="11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1"/>
    </row>
    <row r="1194" spans="1:49" x14ac:dyDescent="0.25">
      <c r="A1194" s="11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1"/>
    </row>
    <row r="1195" spans="1:49" x14ac:dyDescent="0.25">
      <c r="A1195" s="11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1"/>
    </row>
    <row r="1196" spans="1:49" x14ac:dyDescent="0.25">
      <c r="A1196" s="11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1"/>
    </row>
    <row r="1197" spans="1:49" x14ac:dyDescent="0.25">
      <c r="A1197" s="11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1"/>
    </row>
    <row r="1198" spans="1:49" x14ac:dyDescent="0.25">
      <c r="A1198" s="11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1"/>
    </row>
    <row r="1199" spans="1:49" x14ac:dyDescent="0.25">
      <c r="A1199" s="11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1"/>
    </row>
    <row r="1200" spans="1:49" x14ac:dyDescent="0.25">
      <c r="A1200" s="11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1"/>
    </row>
    <row r="1201" spans="1:49" x14ac:dyDescent="0.25">
      <c r="A1201" s="11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1"/>
    </row>
    <row r="1202" spans="1:49" x14ac:dyDescent="0.25">
      <c r="A1202" s="11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1"/>
    </row>
    <row r="1203" spans="1:49" x14ac:dyDescent="0.25">
      <c r="A1203" s="11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1"/>
    </row>
    <row r="1204" spans="1:49" x14ac:dyDescent="0.25">
      <c r="A1204" s="11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1"/>
    </row>
    <row r="1205" spans="1:49" x14ac:dyDescent="0.25">
      <c r="A1205" s="11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1"/>
    </row>
    <row r="1206" spans="1:49" x14ac:dyDescent="0.25">
      <c r="A1206" s="11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1"/>
    </row>
    <row r="1207" spans="1:49" x14ac:dyDescent="0.25">
      <c r="A1207" s="11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1"/>
    </row>
    <row r="1208" spans="1:49" x14ac:dyDescent="0.25">
      <c r="A1208" s="11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1"/>
    </row>
    <row r="1209" spans="1:49" x14ac:dyDescent="0.25">
      <c r="A1209" s="11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1"/>
    </row>
    <row r="1210" spans="1:49" x14ac:dyDescent="0.25">
      <c r="A1210" s="11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1"/>
    </row>
    <row r="1211" spans="1:49" x14ac:dyDescent="0.25">
      <c r="A1211" s="11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1"/>
    </row>
    <row r="1212" spans="1:49" x14ac:dyDescent="0.25">
      <c r="A1212" s="11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1"/>
    </row>
    <row r="1213" spans="1:49" x14ac:dyDescent="0.25">
      <c r="A1213" s="11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1"/>
    </row>
    <row r="1214" spans="1:49" x14ac:dyDescent="0.25">
      <c r="A1214" s="11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1"/>
    </row>
    <row r="1215" spans="1:49" x14ac:dyDescent="0.25">
      <c r="A1215" s="11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1"/>
    </row>
    <row r="1216" spans="1:49" x14ac:dyDescent="0.25">
      <c r="A1216" s="11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1"/>
    </row>
    <row r="1217" spans="1:49" x14ac:dyDescent="0.25">
      <c r="A1217" s="11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1"/>
    </row>
    <row r="1218" spans="1:49" x14ac:dyDescent="0.25">
      <c r="A1218" s="11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1"/>
    </row>
    <row r="1219" spans="1:49" x14ac:dyDescent="0.25">
      <c r="A1219" s="11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1"/>
    </row>
    <row r="1220" spans="1:49" x14ac:dyDescent="0.25">
      <c r="A1220" s="11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1"/>
    </row>
    <row r="1221" spans="1:49" x14ac:dyDescent="0.25">
      <c r="A1221" s="11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1"/>
    </row>
    <row r="1222" spans="1:49" x14ac:dyDescent="0.25">
      <c r="A1222" s="11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1"/>
    </row>
    <row r="1223" spans="1:49" x14ac:dyDescent="0.25">
      <c r="A1223" s="11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1"/>
    </row>
    <row r="1224" spans="1:49" x14ac:dyDescent="0.25">
      <c r="A1224" s="11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1"/>
    </row>
    <row r="1225" spans="1:49" x14ac:dyDescent="0.25">
      <c r="A1225" s="11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1"/>
    </row>
    <row r="1226" spans="1:49" x14ac:dyDescent="0.25">
      <c r="A1226" s="11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1"/>
    </row>
    <row r="1227" spans="1:49" x14ac:dyDescent="0.25">
      <c r="A1227" s="11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1"/>
    </row>
    <row r="1228" spans="1:49" x14ac:dyDescent="0.25">
      <c r="A1228" s="11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1"/>
    </row>
    <row r="1229" spans="1:49" x14ac:dyDescent="0.25">
      <c r="A1229" s="11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1"/>
    </row>
    <row r="1230" spans="1:49" x14ac:dyDescent="0.25">
      <c r="A1230" s="11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1"/>
    </row>
    <row r="1231" spans="1:49" x14ac:dyDescent="0.25">
      <c r="A1231" s="11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1"/>
    </row>
    <row r="1232" spans="1:49" x14ac:dyDescent="0.25">
      <c r="A1232" s="11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1"/>
    </row>
    <row r="1233" spans="1:49" x14ac:dyDescent="0.25">
      <c r="A1233" s="11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1"/>
    </row>
    <row r="1234" spans="1:49" x14ac:dyDescent="0.25">
      <c r="A1234" s="11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1"/>
    </row>
    <row r="1235" spans="1:49" x14ac:dyDescent="0.25">
      <c r="A1235" s="11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1"/>
    </row>
    <row r="1236" spans="1:49" x14ac:dyDescent="0.25">
      <c r="A1236" s="11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1"/>
    </row>
    <row r="1237" spans="1:49" x14ac:dyDescent="0.25">
      <c r="A1237" s="11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1"/>
    </row>
    <row r="1238" spans="1:49" x14ac:dyDescent="0.25">
      <c r="A1238" s="11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1"/>
    </row>
    <row r="1239" spans="1:49" x14ac:dyDescent="0.25">
      <c r="A1239" s="11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1"/>
    </row>
    <row r="1240" spans="1:49" x14ac:dyDescent="0.25">
      <c r="A1240" s="11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1"/>
    </row>
    <row r="1241" spans="1:49" x14ac:dyDescent="0.25">
      <c r="A1241" s="11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1"/>
    </row>
    <row r="1242" spans="1:49" x14ac:dyDescent="0.25">
      <c r="A1242" s="11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1"/>
    </row>
    <row r="1243" spans="1:49" x14ac:dyDescent="0.25">
      <c r="A1243" s="11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1"/>
    </row>
    <row r="1244" spans="1:49" x14ac:dyDescent="0.25">
      <c r="A1244" s="11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1"/>
    </row>
    <row r="1245" spans="1:49" x14ac:dyDescent="0.25">
      <c r="A1245" s="11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1"/>
    </row>
    <row r="1246" spans="1:49" x14ac:dyDescent="0.25">
      <c r="A1246" s="11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1"/>
    </row>
    <row r="1247" spans="1:49" x14ac:dyDescent="0.25">
      <c r="A1247" s="11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1"/>
    </row>
    <row r="1248" spans="1:49" x14ac:dyDescent="0.25">
      <c r="A1248" s="11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1"/>
    </row>
    <row r="1249" spans="1:49" x14ac:dyDescent="0.25">
      <c r="A1249" s="11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1"/>
    </row>
    <row r="1250" spans="1:49" x14ac:dyDescent="0.25">
      <c r="A1250" s="11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1"/>
    </row>
    <row r="1251" spans="1:49" x14ac:dyDescent="0.25">
      <c r="A1251" s="11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1"/>
    </row>
    <row r="1252" spans="1:49" x14ac:dyDescent="0.25">
      <c r="A1252" s="11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1"/>
    </row>
    <row r="1253" spans="1:49" x14ac:dyDescent="0.25">
      <c r="A1253" s="11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1"/>
    </row>
    <row r="1254" spans="1:49" x14ac:dyDescent="0.25">
      <c r="A1254" s="11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1"/>
    </row>
    <row r="1255" spans="1:49" x14ac:dyDescent="0.25">
      <c r="A1255" s="11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1"/>
    </row>
    <row r="1256" spans="1:49" x14ac:dyDescent="0.25">
      <c r="A1256" s="11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1"/>
    </row>
    <row r="1257" spans="1:49" x14ac:dyDescent="0.25">
      <c r="A1257" s="11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1"/>
    </row>
    <row r="1258" spans="1:49" x14ac:dyDescent="0.25">
      <c r="A1258" s="11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1"/>
    </row>
    <row r="1259" spans="1:49" x14ac:dyDescent="0.25">
      <c r="A1259" s="11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1"/>
    </row>
    <row r="1260" spans="1:49" x14ac:dyDescent="0.25">
      <c r="A1260" s="11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1"/>
    </row>
    <row r="1261" spans="1:49" x14ac:dyDescent="0.25">
      <c r="A1261" s="11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1"/>
    </row>
    <row r="1262" spans="1:49" x14ac:dyDescent="0.25">
      <c r="A1262" s="11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1"/>
    </row>
    <row r="1263" spans="1:49" x14ac:dyDescent="0.25">
      <c r="A1263" s="11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1"/>
    </row>
    <row r="1264" spans="1:49" x14ac:dyDescent="0.25">
      <c r="A1264" s="11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1"/>
    </row>
    <row r="1265" spans="1:49" x14ac:dyDescent="0.25">
      <c r="A1265" s="11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1"/>
    </row>
    <row r="1266" spans="1:49" x14ac:dyDescent="0.25">
      <c r="A1266" s="11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1"/>
    </row>
    <row r="1267" spans="1:49" x14ac:dyDescent="0.25">
      <c r="A1267" s="11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1"/>
    </row>
    <row r="1268" spans="1:49" x14ac:dyDescent="0.25">
      <c r="A1268" s="11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1"/>
    </row>
    <row r="1269" spans="1:49" x14ac:dyDescent="0.25">
      <c r="A1269" s="11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1"/>
    </row>
    <row r="1270" spans="1:49" x14ac:dyDescent="0.25">
      <c r="A1270" s="11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1"/>
    </row>
    <row r="1271" spans="1:49" x14ac:dyDescent="0.25">
      <c r="A1271" s="11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1"/>
    </row>
    <row r="1272" spans="1:49" x14ac:dyDescent="0.25">
      <c r="A1272" s="11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1"/>
    </row>
    <row r="1273" spans="1:49" x14ac:dyDescent="0.25">
      <c r="A1273" s="11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1"/>
    </row>
    <row r="1274" spans="1:49" x14ac:dyDescent="0.25">
      <c r="A1274" s="11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1"/>
    </row>
    <row r="1275" spans="1:49" x14ac:dyDescent="0.25">
      <c r="A1275" s="11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1"/>
    </row>
    <row r="1276" spans="1:49" x14ac:dyDescent="0.25">
      <c r="A1276" s="11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1"/>
    </row>
    <row r="1277" spans="1:49" x14ac:dyDescent="0.25">
      <c r="A1277" s="11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1"/>
    </row>
    <row r="1278" spans="1:49" x14ac:dyDescent="0.25">
      <c r="A1278" s="11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1"/>
    </row>
    <row r="1279" spans="1:49" x14ac:dyDescent="0.25">
      <c r="A1279" s="11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1"/>
    </row>
    <row r="1280" spans="1:49" x14ac:dyDescent="0.25">
      <c r="A1280" s="11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1"/>
    </row>
    <row r="1281" spans="1:49" x14ac:dyDescent="0.25">
      <c r="A1281" s="11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1"/>
    </row>
    <row r="1282" spans="1:49" x14ac:dyDescent="0.25">
      <c r="A1282" s="11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1"/>
    </row>
    <row r="1283" spans="1:49" x14ac:dyDescent="0.25">
      <c r="A1283" s="11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1"/>
    </row>
    <row r="1284" spans="1:49" x14ac:dyDescent="0.25">
      <c r="A1284" s="11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1"/>
    </row>
    <row r="1285" spans="1:49" x14ac:dyDescent="0.25">
      <c r="A1285" s="11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1"/>
    </row>
    <row r="1286" spans="1:49" x14ac:dyDescent="0.25">
      <c r="A1286" s="11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1"/>
    </row>
    <row r="1287" spans="1:49" x14ac:dyDescent="0.25">
      <c r="A1287" s="11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1"/>
    </row>
    <row r="1288" spans="1:49" x14ac:dyDescent="0.25">
      <c r="A1288" s="11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1"/>
    </row>
    <row r="1289" spans="1:49" x14ac:dyDescent="0.25">
      <c r="A1289" s="11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1"/>
    </row>
    <row r="1290" spans="1:49" x14ac:dyDescent="0.25">
      <c r="A1290" s="11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1"/>
    </row>
    <row r="1291" spans="1:49" x14ac:dyDescent="0.25">
      <c r="A1291" s="11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1"/>
    </row>
    <row r="1292" spans="1:49" x14ac:dyDescent="0.25">
      <c r="A1292" s="11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1"/>
    </row>
    <row r="1293" spans="1:49" x14ac:dyDescent="0.25">
      <c r="A1293" s="11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1"/>
    </row>
    <row r="1294" spans="1:49" x14ac:dyDescent="0.25">
      <c r="A1294" s="11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1"/>
    </row>
    <row r="1295" spans="1:49" x14ac:dyDescent="0.25">
      <c r="A1295" s="11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1"/>
    </row>
    <row r="1296" spans="1:49" x14ac:dyDescent="0.25">
      <c r="A1296" s="11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1"/>
    </row>
    <row r="1297" spans="1:49" x14ac:dyDescent="0.25">
      <c r="A1297" s="11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1"/>
    </row>
    <row r="1298" spans="1:49" x14ac:dyDescent="0.25">
      <c r="A1298" s="11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1"/>
    </row>
    <row r="1299" spans="1:49" x14ac:dyDescent="0.25">
      <c r="A1299" s="11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1"/>
    </row>
    <row r="1300" spans="1:49" x14ac:dyDescent="0.25">
      <c r="A1300" s="11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1"/>
    </row>
    <row r="1301" spans="1:49" x14ac:dyDescent="0.25">
      <c r="A1301" s="11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1"/>
    </row>
    <row r="1302" spans="1:49" x14ac:dyDescent="0.25">
      <c r="A1302" s="11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1"/>
    </row>
    <row r="1303" spans="1:49" x14ac:dyDescent="0.25">
      <c r="A1303" s="11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1"/>
    </row>
    <row r="1304" spans="1:49" x14ac:dyDescent="0.25">
      <c r="A1304" s="11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1"/>
    </row>
    <row r="1305" spans="1:49" x14ac:dyDescent="0.25">
      <c r="A1305" s="11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1"/>
    </row>
    <row r="1306" spans="1:49" x14ac:dyDescent="0.25">
      <c r="A1306" s="11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1"/>
    </row>
    <row r="1307" spans="1:49" x14ac:dyDescent="0.25">
      <c r="A1307" s="11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1"/>
    </row>
    <row r="1308" spans="1:49" x14ac:dyDescent="0.25">
      <c r="A1308" s="11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1"/>
    </row>
    <row r="1309" spans="1:49" x14ac:dyDescent="0.25">
      <c r="A1309" s="11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1"/>
    </row>
    <row r="1310" spans="1:49" x14ac:dyDescent="0.25">
      <c r="A1310" s="11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1"/>
    </row>
    <row r="1311" spans="1:49" x14ac:dyDescent="0.25">
      <c r="A1311" s="11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1"/>
    </row>
    <row r="1312" spans="1:49" x14ac:dyDescent="0.25">
      <c r="A1312" s="11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1"/>
    </row>
    <row r="1313" spans="1:49" x14ac:dyDescent="0.25">
      <c r="A1313" s="11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1"/>
    </row>
    <row r="1314" spans="1:49" x14ac:dyDescent="0.25">
      <c r="A1314" s="11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1"/>
    </row>
    <row r="1315" spans="1:49" x14ac:dyDescent="0.25">
      <c r="A1315" s="11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1"/>
    </row>
    <row r="1316" spans="1:49" x14ac:dyDescent="0.25">
      <c r="A1316" s="11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1"/>
    </row>
    <row r="1317" spans="1:49" x14ac:dyDescent="0.25">
      <c r="A1317" s="11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1"/>
    </row>
    <row r="1318" spans="1:49" x14ac:dyDescent="0.25">
      <c r="A1318" s="11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1"/>
    </row>
    <row r="1319" spans="1:49" x14ac:dyDescent="0.25">
      <c r="A1319" s="11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1"/>
    </row>
    <row r="1320" spans="1:49" x14ac:dyDescent="0.25">
      <c r="A1320" s="11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1"/>
    </row>
    <row r="1321" spans="1:49" x14ac:dyDescent="0.25">
      <c r="A1321" s="11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1"/>
    </row>
    <row r="1322" spans="1:49" x14ac:dyDescent="0.25">
      <c r="A1322" s="11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1"/>
    </row>
    <row r="1323" spans="1:49" x14ac:dyDescent="0.25">
      <c r="A1323" s="11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1"/>
    </row>
    <row r="1324" spans="1:49" x14ac:dyDescent="0.25">
      <c r="A1324" s="11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1"/>
    </row>
    <row r="1325" spans="1:49" x14ac:dyDescent="0.25">
      <c r="A1325" s="11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1"/>
    </row>
    <row r="1326" spans="1:49" x14ac:dyDescent="0.25">
      <c r="A1326" s="11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1"/>
    </row>
    <row r="1327" spans="1:49" x14ac:dyDescent="0.25">
      <c r="A1327" s="11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1"/>
    </row>
    <row r="1328" spans="1:49" x14ac:dyDescent="0.25">
      <c r="A1328" s="11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1"/>
    </row>
    <row r="1329" spans="1:49" x14ac:dyDescent="0.25">
      <c r="A1329" s="11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1"/>
    </row>
    <row r="1330" spans="1:49" x14ac:dyDescent="0.25">
      <c r="A1330" s="11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1"/>
    </row>
    <row r="1331" spans="1:49" x14ac:dyDescent="0.25">
      <c r="A1331" s="11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1"/>
    </row>
    <row r="1332" spans="1:49" x14ac:dyDescent="0.25">
      <c r="A1332" s="11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1"/>
    </row>
    <row r="1333" spans="1:49" x14ac:dyDescent="0.25">
      <c r="A1333" s="11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1"/>
    </row>
    <row r="1334" spans="1:49" x14ac:dyDescent="0.25">
      <c r="A1334" s="11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1"/>
    </row>
    <row r="1335" spans="1:49" x14ac:dyDescent="0.25">
      <c r="A1335" s="11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1"/>
    </row>
    <row r="1336" spans="1:49" x14ac:dyDescent="0.25">
      <c r="A1336" s="11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1"/>
    </row>
    <row r="1337" spans="1:49" x14ac:dyDescent="0.25">
      <c r="A1337" s="11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1"/>
    </row>
    <row r="1338" spans="1:49" x14ac:dyDescent="0.25">
      <c r="A1338" s="11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1"/>
    </row>
    <row r="1339" spans="1:49" x14ac:dyDescent="0.25">
      <c r="A1339" s="11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1"/>
    </row>
    <row r="1340" spans="1:49" x14ac:dyDescent="0.25">
      <c r="A1340" s="11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1"/>
    </row>
    <row r="1341" spans="1:49" x14ac:dyDescent="0.25">
      <c r="A1341" s="11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1"/>
    </row>
    <row r="1342" spans="1:49" x14ac:dyDescent="0.25">
      <c r="A1342" s="11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1"/>
    </row>
    <row r="1343" spans="1:49" x14ac:dyDescent="0.25">
      <c r="A1343" s="11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1"/>
    </row>
    <row r="1344" spans="1:49" x14ac:dyDescent="0.25">
      <c r="A1344" s="11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1"/>
    </row>
    <row r="1345" spans="1:49" x14ac:dyDescent="0.25">
      <c r="A1345" s="11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1"/>
    </row>
    <row r="1346" spans="1:49" x14ac:dyDescent="0.25">
      <c r="A1346" s="11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1"/>
    </row>
    <row r="1347" spans="1:49" x14ac:dyDescent="0.25">
      <c r="A1347" s="11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1"/>
    </row>
    <row r="1348" spans="1:49" x14ac:dyDescent="0.25">
      <c r="A1348" s="11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1"/>
    </row>
    <row r="1349" spans="1:49" x14ac:dyDescent="0.25">
      <c r="A1349" s="11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1"/>
    </row>
    <row r="1350" spans="1:49" x14ac:dyDescent="0.25">
      <c r="A1350" s="11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1"/>
    </row>
    <row r="1351" spans="1:49" x14ac:dyDescent="0.25">
      <c r="A1351" s="11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1"/>
    </row>
    <row r="1352" spans="1:49" x14ac:dyDescent="0.25">
      <c r="A1352" s="11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1"/>
    </row>
    <row r="1353" spans="1:49" x14ac:dyDescent="0.25">
      <c r="A1353" s="11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1"/>
    </row>
    <row r="1354" spans="1:49" x14ac:dyDescent="0.25">
      <c r="A1354" s="11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1"/>
    </row>
    <row r="1355" spans="1:49" x14ac:dyDescent="0.25">
      <c r="A1355" s="11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1"/>
    </row>
    <row r="1356" spans="1:49" x14ac:dyDescent="0.25">
      <c r="A1356" s="11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1"/>
    </row>
    <row r="1357" spans="1:49" x14ac:dyDescent="0.25">
      <c r="A1357" s="11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1"/>
    </row>
    <row r="1358" spans="1:49" x14ac:dyDescent="0.25">
      <c r="A1358" s="11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1"/>
    </row>
    <row r="1359" spans="1:49" x14ac:dyDescent="0.25">
      <c r="A1359" s="11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1"/>
    </row>
    <row r="1360" spans="1:49" x14ac:dyDescent="0.25">
      <c r="A1360" s="11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1"/>
    </row>
    <row r="1361" spans="1:49" x14ac:dyDescent="0.25">
      <c r="A1361" s="11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1"/>
    </row>
    <row r="1362" spans="1:49" x14ac:dyDescent="0.25">
      <c r="A1362" s="11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1"/>
    </row>
    <row r="1363" spans="1:49" x14ac:dyDescent="0.25">
      <c r="A1363" s="11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1"/>
    </row>
    <row r="1364" spans="1:49" x14ac:dyDescent="0.25">
      <c r="A1364" s="11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1"/>
    </row>
    <row r="1365" spans="1:49" x14ac:dyDescent="0.25">
      <c r="A1365" s="11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1"/>
    </row>
    <row r="1366" spans="1:49" x14ac:dyDescent="0.25">
      <c r="A1366" s="11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1"/>
    </row>
    <row r="1367" spans="1:49" x14ac:dyDescent="0.25">
      <c r="A1367" s="11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1"/>
    </row>
    <row r="1368" spans="1:49" x14ac:dyDescent="0.25">
      <c r="A1368" s="11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1"/>
    </row>
    <row r="1369" spans="1:49" x14ac:dyDescent="0.25">
      <c r="A1369" s="11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1"/>
    </row>
    <row r="1370" spans="1:49" x14ac:dyDescent="0.25">
      <c r="A1370" s="11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1"/>
    </row>
    <row r="1371" spans="1:49" x14ac:dyDescent="0.25">
      <c r="A1371" s="11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1"/>
    </row>
    <row r="1372" spans="1:49" x14ac:dyDescent="0.25">
      <c r="A1372" s="11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1"/>
    </row>
    <row r="1373" spans="1:49" x14ac:dyDescent="0.25">
      <c r="A1373" s="11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1"/>
    </row>
    <row r="1374" spans="1:49" x14ac:dyDescent="0.25">
      <c r="A1374" s="11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1"/>
    </row>
    <row r="1375" spans="1:49" x14ac:dyDescent="0.25">
      <c r="A1375" s="11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1"/>
    </row>
    <row r="1376" spans="1:49" x14ac:dyDescent="0.25">
      <c r="A1376" s="11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1"/>
    </row>
    <row r="1377" spans="1:49" x14ac:dyDescent="0.25">
      <c r="A1377" s="11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1"/>
    </row>
    <row r="1378" spans="1:49" x14ac:dyDescent="0.25">
      <c r="A1378" s="11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1"/>
    </row>
    <row r="1379" spans="1:49" x14ac:dyDescent="0.25">
      <c r="A1379" s="11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1"/>
    </row>
    <row r="1380" spans="1:49" x14ac:dyDescent="0.25">
      <c r="A1380" s="11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1"/>
    </row>
    <row r="1381" spans="1:49" x14ac:dyDescent="0.25">
      <c r="A1381" s="11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1"/>
    </row>
    <row r="1382" spans="1:49" x14ac:dyDescent="0.25">
      <c r="A1382" s="11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1"/>
    </row>
    <row r="1383" spans="1:49" x14ac:dyDescent="0.25">
      <c r="A1383" s="11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1"/>
    </row>
    <row r="1384" spans="1:49" x14ac:dyDescent="0.25">
      <c r="A1384" s="11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1"/>
    </row>
    <row r="1385" spans="1:49" x14ac:dyDescent="0.25">
      <c r="A1385" s="11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1"/>
    </row>
    <row r="1386" spans="1:49" x14ac:dyDescent="0.25">
      <c r="A1386" s="11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1"/>
    </row>
    <row r="1387" spans="1:49" x14ac:dyDescent="0.25">
      <c r="A1387" s="11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1"/>
    </row>
    <row r="1388" spans="1:49" x14ac:dyDescent="0.25">
      <c r="A1388" s="11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1"/>
    </row>
    <row r="1389" spans="1:49" x14ac:dyDescent="0.25">
      <c r="A1389" s="11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1"/>
    </row>
    <row r="1390" spans="1:49" x14ac:dyDescent="0.25">
      <c r="A1390" s="11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1"/>
    </row>
    <row r="1391" spans="1:49" x14ac:dyDescent="0.25">
      <c r="A1391" s="11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1"/>
    </row>
    <row r="1392" spans="1:49" x14ac:dyDescent="0.25">
      <c r="A1392" s="11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1"/>
    </row>
    <row r="1393" spans="1:49" x14ac:dyDescent="0.25">
      <c r="A1393" s="11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1"/>
    </row>
    <row r="1394" spans="1:49" x14ac:dyDescent="0.25">
      <c r="A1394" s="11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1"/>
    </row>
    <row r="1395" spans="1:49" x14ac:dyDescent="0.25">
      <c r="A1395" s="11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1"/>
    </row>
    <row r="1396" spans="1:49" x14ac:dyDescent="0.25">
      <c r="A1396" s="11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1"/>
    </row>
    <row r="1397" spans="1:49" x14ac:dyDescent="0.25">
      <c r="A1397" s="11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1"/>
    </row>
    <row r="1398" spans="1:49" x14ac:dyDescent="0.25">
      <c r="A1398" s="11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1"/>
    </row>
    <row r="1399" spans="1:49" x14ac:dyDescent="0.25">
      <c r="A1399" s="11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1"/>
    </row>
    <row r="1400" spans="1:49" x14ac:dyDescent="0.25">
      <c r="A1400" s="11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1"/>
    </row>
    <row r="1401" spans="1:49" x14ac:dyDescent="0.25">
      <c r="A1401" s="11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1"/>
    </row>
    <row r="1402" spans="1:49" x14ac:dyDescent="0.25">
      <c r="A1402" s="11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1"/>
    </row>
    <row r="1403" spans="1:49" x14ac:dyDescent="0.25">
      <c r="A1403" s="11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1"/>
    </row>
    <row r="1404" spans="1:49" x14ac:dyDescent="0.25">
      <c r="A1404" s="11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1"/>
    </row>
    <row r="1405" spans="1:49" x14ac:dyDescent="0.25">
      <c r="A1405" s="11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1"/>
    </row>
    <row r="1406" spans="1:49" x14ac:dyDescent="0.25">
      <c r="A1406" s="11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1"/>
    </row>
    <row r="1407" spans="1:49" x14ac:dyDescent="0.25">
      <c r="A1407" s="11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1"/>
    </row>
    <row r="1408" spans="1:49" x14ac:dyDescent="0.25">
      <c r="A1408" s="11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1"/>
    </row>
    <row r="1409" spans="1:49" x14ac:dyDescent="0.25">
      <c r="A1409" s="11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1"/>
    </row>
    <row r="1410" spans="1:49" x14ac:dyDescent="0.25">
      <c r="A1410" s="11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1"/>
    </row>
    <row r="1411" spans="1:49" x14ac:dyDescent="0.25">
      <c r="A1411" s="11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1"/>
    </row>
    <row r="1412" spans="1:49" x14ac:dyDescent="0.25">
      <c r="A1412" s="11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1"/>
    </row>
    <row r="1413" spans="1:49" x14ac:dyDescent="0.25">
      <c r="A1413" s="11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1"/>
    </row>
    <row r="1414" spans="1:49" x14ac:dyDescent="0.25">
      <c r="A1414" s="11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1"/>
    </row>
    <row r="1415" spans="1:49" x14ac:dyDescent="0.25">
      <c r="A1415" s="11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1"/>
    </row>
    <row r="1416" spans="1:49" x14ac:dyDescent="0.25">
      <c r="A1416" s="11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1"/>
    </row>
    <row r="1417" spans="1:49" x14ac:dyDescent="0.25">
      <c r="A1417" s="11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1"/>
    </row>
    <row r="1418" spans="1:49" x14ac:dyDescent="0.25">
      <c r="A1418" s="11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1"/>
    </row>
    <row r="1419" spans="1:49" x14ac:dyDescent="0.25">
      <c r="A1419" s="11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1"/>
    </row>
    <row r="1420" spans="1:49" x14ac:dyDescent="0.25">
      <c r="A1420" s="11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1"/>
    </row>
    <row r="1421" spans="1:49" x14ac:dyDescent="0.25">
      <c r="A1421" s="11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1"/>
    </row>
    <row r="1422" spans="1:49" x14ac:dyDescent="0.25">
      <c r="A1422" s="11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1"/>
    </row>
    <row r="1423" spans="1:49" x14ac:dyDescent="0.25">
      <c r="A1423" s="11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1"/>
    </row>
    <row r="1424" spans="1:49" x14ac:dyDescent="0.25">
      <c r="A1424" s="11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1"/>
    </row>
    <row r="1425" spans="1:49" x14ac:dyDescent="0.25">
      <c r="A1425" s="11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1"/>
    </row>
    <row r="1426" spans="1:49" x14ac:dyDescent="0.25">
      <c r="A1426" s="11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1"/>
    </row>
    <row r="1427" spans="1:49" x14ac:dyDescent="0.25">
      <c r="A1427" s="11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1"/>
    </row>
    <row r="1428" spans="1:49" x14ac:dyDescent="0.25">
      <c r="A1428" s="11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1"/>
    </row>
    <row r="1429" spans="1:49" x14ac:dyDescent="0.25">
      <c r="A1429" s="11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1"/>
    </row>
    <row r="1430" spans="1:49" x14ac:dyDescent="0.25">
      <c r="A1430" s="11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1"/>
    </row>
    <row r="1431" spans="1:49" x14ac:dyDescent="0.25">
      <c r="A1431" s="11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1"/>
    </row>
    <row r="1432" spans="1:49" x14ac:dyDescent="0.25">
      <c r="A1432" s="11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1"/>
    </row>
    <row r="1433" spans="1:49" x14ac:dyDescent="0.25">
      <c r="A1433" s="11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1"/>
    </row>
    <row r="1434" spans="1:49" x14ac:dyDescent="0.25">
      <c r="A1434" s="11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1"/>
    </row>
    <row r="1435" spans="1:49" x14ac:dyDescent="0.25">
      <c r="A1435" s="11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1"/>
    </row>
    <row r="1436" spans="1:49" x14ac:dyDescent="0.25">
      <c r="A1436" s="11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1"/>
    </row>
    <row r="1437" spans="1:49" x14ac:dyDescent="0.25">
      <c r="A1437" s="11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1"/>
    </row>
    <row r="1438" spans="1:49" x14ac:dyDescent="0.25">
      <c r="A1438" s="11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1"/>
    </row>
    <row r="1439" spans="1:49" x14ac:dyDescent="0.25">
      <c r="A1439" s="11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1"/>
    </row>
    <row r="1440" spans="1:49" x14ac:dyDescent="0.25">
      <c r="A1440" s="11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1"/>
    </row>
    <row r="1441" spans="1:49" x14ac:dyDescent="0.25">
      <c r="A1441" s="11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1"/>
    </row>
    <row r="1442" spans="1:49" x14ac:dyDescent="0.25">
      <c r="A1442" s="11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1"/>
    </row>
    <row r="1443" spans="1:49" x14ac:dyDescent="0.25">
      <c r="A1443" s="11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1"/>
    </row>
    <row r="1444" spans="1:49" x14ac:dyDescent="0.25">
      <c r="A1444" s="11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1"/>
    </row>
    <row r="1445" spans="1:49" x14ac:dyDescent="0.25">
      <c r="A1445" s="11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1"/>
    </row>
    <row r="1446" spans="1:49" x14ac:dyDescent="0.25">
      <c r="A1446" s="11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1"/>
    </row>
    <row r="1447" spans="1:49" x14ac:dyDescent="0.25">
      <c r="A1447" s="11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1"/>
    </row>
    <row r="1448" spans="1:49" x14ac:dyDescent="0.25">
      <c r="A1448" s="11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1"/>
    </row>
    <row r="1449" spans="1:49" x14ac:dyDescent="0.25">
      <c r="A1449" s="11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1"/>
    </row>
    <row r="1450" spans="1:49" x14ac:dyDescent="0.25">
      <c r="A1450" s="11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1"/>
    </row>
    <row r="1451" spans="1:49" x14ac:dyDescent="0.25">
      <c r="A1451" s="11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1"/>
    </row>
    <row r="1452" spans="1:49" x14ac:dyDescent="0.25">
      <c r="A1452" s="11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1"/>
    </row>
    <row r="1453" spans="1:49" x14ac:dyDescent="0.25">
      <c r="A1453" s="11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1"/>
    </row>
    <row r="1454" spans="1:49" x14ac:dyDescent="0.25">
      <c r="A1454" s="11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1"/>
    </row>
    <row r="1455" spans="1:49" x14ac:dyDescent="0.25">
      <c r="A1455" s="11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1"/>
    </row>
    <row r="1456" spans="1:49" x14ac:dyDescent="0.25">
      <c r="A1456" s="11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1"/>
    </row>
    <row r="1457" spans="1:49" x14ac:dyDescent="0.25">
      <c r="A1457" s="11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1"/>
    </row>
    <row r="1458" spans="1:49" x14ac:dyDescent="0.25">
      <c r="A1458" s="11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1"/>
    </row>
    <row r="1459" spans="1:49" x14ac:dyDescent="0.25">
      <c r="A1459" s="11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1"/>
    </row>
    <row r="1460" spans="1:49" x14ac:dyDescent="0.25">
      <c r="A1460" s="11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1"/>
    </row>
    <row r="1461" spans="1:49" x14ac:dyDescent="0.25">
      <c r="A1461" s="11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1"/>
    </row>
    <row r="1462" spans="1:49" x14ac:dyDescent="0.25">
      <c r="A1462" s="11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1"/>
    </row>
    <row r="1463" spans="1:49" x14ac:dyDescent="0.25">
      <c r="A1463" s="11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1"/>
    </row>
    <row r="1464" spans="1:49" x14ac:dyDescent="0.25">
      <c r="A1464" s="11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1"/>
    </row>
    <row r="1465" spans="1:49" x14ac:dyDescent="0.25">
      <c r="A1465" s="11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1"/>
    </row>
    <row r="1466" spans="1:49" x14ac:dyDescent="0.25">
      <c r="A1466" s="11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1"/>
    </row>
    <row r="1467" spans="1:49" x14ac:dyDescent="0.25">
      <c r="A1467" s="11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1"/>
    </row>
    <row r="1468" spans="1:49" x14ac:dyDescent="0.25">
      <c r="A1468" s="11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1"/>
    </row>
    <row r="1469" spans="1:49" x14ac:dyDescent="0.25">
      <c r="A1469" s="11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1"/>
    </row>
    <row r="1470" spans="1:49" x14ac:dyDescent="0.25">
      <c r="A1470" s="11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1"/>
    </row>
    <row r="1471" spans="1:49" x14ac:dyDescent="0.25">
      <c r="A1471" s="11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1"/>
    </row>
    <row r="1472" spans="1:49" x14ac:dyDescent="0.25">
      <c r="A1472" s="11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1"/>
    </row>
    <row r="1473" spans="1:49" x14ac:dyDescent="0.25">
      <c r="A1473" s="11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1"/>
    </row>
    <row r="1474" spans="1:49" x14ac:dyDescent="0.25">
      <c r="A1474" s="11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1"/>
    </row>
    <row r="1475" spans="1:49" x14ac:dyDescent="0.25">
      <c r="A1475" s="11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1"/>
    </row>
    <row r="1476" spans="1:49" x14ac:dyDescent="0.25">
      <c r="A1476" s="11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1"/>
    </row>
    <row r="1477" spans="1:49" x14ac:dyDescent="0.25">
      <c r="A1477" s="11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1"/>
    </row>
    <row r="1478" spans="1:49" x14ac:dyDescent="0.25">
      <c r="A1478" s="11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1"/>
    </row>
    <row r="1479" spans="1:49" x14ac:dyDescent="0.25">
      <c r="A1479" s="11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1"/>
    </row>
    <row r="1480" spans="1:49" x14ac:dyDescent="0.25">
      <c r="A1480" s="11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1"/>
    </row>
    <row r="1481" spans="1:49" x14ac:dyDescent="0.25">
      <c r="A1481" s="11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1"/>
    </row>
    <row r="1482" spans="1:49" x14ac:dyDescent="0.25">
      <c r="A1482" s="11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1"/>
    </row>
    <row r="1483" spans="1:49" x14ac:dyDescent="0.25">
      <c r="A1483" s="11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1"/>
    </row>
    <row r="1484" spans="1:49" x14ac:dyDescent="0.25">
      <c r="A1484" s="11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1"/>
    </row>
    <row r="1485" spans="1:49" x14ac:dyDescent="0.25">
      <c r="A1485" s="11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1"/>
    </row>
    <row r="1486" spans="1:49" x14ac:dyDescent="0.25">
      <c r="A1486" s="11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1"/>
    </row>
    <row r="1487" spans="1:49" x14ac:dyDescent="0.25">
      <c r="A1487" s="11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1"/>
    </row>
    <row r="1488" spans="1:49" x14ac:dyDescent="0.25">
      <c r="A1488" s="11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1"/>
    </row>
    <row r="1489" spans="1:49" x14ac:dyDescent="0.25">
      <c r="A1489" s="11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1"/>
    </row>
    <row r="1490" spans="1:49" x14ac:dyDescent="0.25">
      <c r="A1490" s="11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1"/>
    </row>
    <row r="1491" spans="1:49" x14ac:dyDescent="0.25">
      <c r="A1491" s="11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1"/>
    </row>
    <row r="1492" spans="1:49" x14ac:dyDescent="0.25">
      <c r="A1492" s="11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1"/>
    </row>
    <row r="1493" spans="1:49" x14ac:dyDescent="0.25">
      <c r="A1493" s="11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1"/>
    </row>
    <row r="1494" spans="1:49" x14ac:dyDescent="0.25">
      <c r="A1494" s="11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1"/>
    </row>
    <row r="1495" spans="1:49" x14ac:dyDescent="0.25">
      <c r="A1495" s="11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1"/>
    </row>
    <row r="1496" spans="1:49" x14ac:dyDescent="0.25">
      <c r="A1496" s="11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1"/>
    </row>
    <row r="1497" spans="1:49" x14ac:dyDescent="0.25">
      <c r="A1497" s="11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1"/>
    </row>
    <row r="1498" spans="1:49" x14ac:dyDescent="0.25">
      <c r="A1498" s="11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1"/>
    </row>
    <row r="1499" spans="1:49" x14ac:dyDescent="0.25">
      <c r="A1499" s="11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1"/>
    </row>
    <row r="1500" spans="1:49" x14ac:dyDescent="0.25">
      <c r="A1500" s="11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1"/>
    </row>
    <row r="1501" spans="1:49" x14ac:dyDescent="0.25">
      <c r="A1501" s="11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1"/>
    </row>
    <row r="1502" spans="1:49" x14ac:dyDescent="0.25">
      <c r="A1502" s="11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1"/>
    </row>
    <row r="1503" spans="1:49" x14ac:dyDescent="0.25">
      <c r="A1503" s="11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1"/>
    </row>
    <row r="1504" spans="1:49" x14ac:dyDescent="0.25">
      <c r="A1504" s="11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1"/>
    </row>
    <row r="1505" spans="1:49" x14ac:dyDescent="0.25">
      <c r="A1505" s="11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1"/>
    </row>
    <row r="1506" spans="1:49" x14ac:dyDescent="0.25">
      <c r="A1506" s="11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1"/>
    </row>
    <row r="1507" spans="1:49" x14ac:dyDescent="0.25">
      <c r="A1507" s="11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1"/>
    </row>
    <row r="1508" spans="1:49" x14ac:dyDescent="0.25">
      <c r="A1508" s="11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1"/>
    </row>
    <row r="1509" spans="1:49" x14ac:dyDescent="0.25">
      <c r="A1509" s="11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1"/>
    </row>
    <row r="1510" spans="1:49" x14ac:dyDescent="0.25">
      <c r="A1510" s="11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1"/>
    </row>
    <row r="1511" spans="1:49" x14ac:dyDescent="0.25">
      <c r="A1511" s="11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1"/>
    </row>
    <row r="1512" spans="1:49" x14ac:dyDescent="0.25">
      <c r="A1512" s="11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1"/>
    </row>
    <row r="1513" spans="1:49" x14ac:dyDescent="0.25">
      <c r="A1513" s="11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1"/>
    </row>
    <row r="1514" spans="1:49" x14ac:dyDescent="0.25">
      <c r="A1514" s="11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1"/>
    </row>
    <row r="1515" spans="1:49" x14ac:dyDescent="0.25">
      <c r="A1515" s="11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1"/>
    </row>
    <row r="1516" spans="1:49" x14ac:dyDescent="0.25">
      <c r="A1516" s="11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1"/>
    </row>
    <row r="1517" spans="1:49" x14ac:dyDescent="0.25">
      <c r="A1517" s="11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1"/>
    </row>
    <row r="1518" spans="1:49" x14ac:dyDescent="0.25">
      <c r="A1518" s="11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1"/>
    </row>
    <row r="1519" spans="1:49" x14ac:dyDescent="0.25">
      <c r="A1519" s="11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1"/>
    </row>
    <row r="1520" spans="1:49" x14ac:dyDescent="0.25">
      <c r="A1520" s="11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1"/>
    </row>
    <row r="1521" spans="1:49" x14ac:dyDescent="0.25">
      <c r="A1521" s="11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1"/>
    </row>
    <row r="1522" spans="1:49" x14ac:dyDescent="0.25">
      <c r="A1522" s="11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1"/>
    </row>
    <row r="1523" spans="1:49" x14ac:dyDescent="0.25">
      <c r="A1523" s="11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1"/>
    </row>
    <row r="1524" spans="1:49" x14ac:dyDescent="0.25">
      <c r="A1524" s="11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1"/>
    </row>
    <row r="1525" spans="1:49" x14ac:dyDescent="0.25">
      <c r="A1525" s="11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1"/>
    </row>
    <row r="1526" spans="1:49" x14ac:dyDescent="0.25">
      <c r="A1526" s="11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1"/>
    </row>
    <row r="1527" spans="1:49" x14ac:dyDescent="0.25">
      <c r="A1527" s="11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1"/>
    </row>
    <row r="1528" spans="1:49" x14ac:dyDescent="0.25">
      <c r="A1528" s="11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1"/>
    </row>
    <row r="1529" spans="1:49" x14ac:dyDescent="0.25">
      <c r="A1529" s="11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1"/>
    </row>
    <row r="1530" spans="1:49" x14ac:dyDescent="0.25">
      <c r="A1530" s="11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1"/>
    </row>
    <row r="1531" spans="1:49" x14ac:dyDescent="0.25">
      <c r="A1531" s="11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1"/>
    </row>
    <row r="1532" spans="1:49" x14ac:dyDescent="0.25">
      <c r="A1532" s="11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1"/>
    </row>
    <row r="1533" spans="1:49" x14ac:dyDescent="0.25">
      <c r="A1533" s="11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1"/>
    </row>
    <row r="1534" spans="1:49" x14ac:dyDescent="0.25">
      <c r="A1534" s="11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1"/>
    </row>
    <row r="1535" spans="1:49" x14ac:dyDescent="0.25">
      <c r="A1535" s="11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1"/>
    </row>
    <row r="1536" spans="1:49" x14ac:dyDescent="0.25">
      <c r="A1536" s="11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1"/>
    </row>
    <row r="1537" spans="1:49" x14ac:dyDescent="0.25">
      <c r="A1537" s="11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1"/>
    </row>
    <row r="1538" spans="1:49" x14ac:dyDescent="0.25">
      <c r="A1538" s="11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1"/>
    </row>
    <row r="1539" spans="1:49" x14ac:dyDescent="0.25">
      <c r="A1539" s="11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1"/>
    </row>
    <row r="1540" spans="1:49" x14ac:dyDescent="0.25">
      <c r="A1540" s="11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1"/>
    </row>
    <row r="1541" spans="1:49" x14ac:dyDescent="0.25">
      <c r="A1541" s="11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1"/>
    </row>
    <row r="1542" spans="1:49" x14ac:dyDescent="0.25">
      <c r="A1542" s="11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1"/>
    </row>
    <row r="1543" spans="1:49" x14ac:dyDescent="0.25">
      <c r="A1543" s="11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1"/>
    </row>
    <row r="1544" spans="1:49" x14ac:dyDescent="0.25">
      <c r="A1544" s="11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1"/>
    </row>
    <row r="1545" spans="1:49" x14ac:dyDescent="0.25">
      <c r="A1545" s="11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1"/>
    </row>
    <row r="1546" spans="1:49" x14ac:dyDescent="0.25">
      <c r="A1546" s="11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1"/>
    </row>
    <row r="1547" spans="1:49" x14ac:dyDescent="0.25">
      <c r="A1547" s="11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1"/>
    </row>
    <row r="1548" spans="1:49" x14ac:dyDescent="0.25">
      <c r="A1548" s="11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1"/>
    </row>
    <row r="1549" spans="1:49" x14ac:dyDescent="0.25">
      <c r="A1549" s="11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1"/>
    </row>
    <row r="1550" spans="1:49" x14ac:dyDescent="0.25">
      <c r="A1550" s="11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1"/>
    </row>
    <row r="1551" spans="1:49" x14ac:dyDescent="0.25">
      <c r="A1551" s="11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1"/>
    </row>
    <row r="1552" spans="1:49" x14ac:dyDescent="0.25">
      <c r="A1552" s="11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1"/>
    </row>
    <row r="1553" spans="1:49" x14ac:dyDescent="0.25">
      <c r="A1553" s="11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1"/>
    </row>
    <row r="1554" spans="1:49" x14ac:dyDescent="0.25">
      <c r="A1554" s="11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1"/>
    </row>
    <row r="1555" spans="1:49" x14ac:dyDescent="0.25">
      <c r="A1555" s="11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1"/>
    </row>
    <row r="1556" spans="1:49" x14ac:dyDescent="0.25">
      <c r="A1556" s="11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1"/>
    </row>
    <row r="1557" spans="1:49" x14ac:dyDescent="0.25">
      <c r="A1557" s="11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1"/>
    </row>
    <row r="1558" spans="1:49" x14ac:dyDescent="0.25">
      <c r="A1558" s="11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1"/>
    </row>
    <row r="1559" spans="1:49" x14ac:dyDescent="0.25">
      <c r="A1559" s="11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1"/>
    </row>
    <row r="1560" spans="1:49" x14ac:dyDescent="0.25">
      <c r="A1560" s="11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1"/>
    </row>
    <row r="1561" spans="1:49" x14ac:dyDescent="0.25">
      <c r="A1561" s="11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1"/>
    </row>
    <row r="1562" spans="1:49" x14ac:dyDescent="0.25">
      <c r="A1562" s="11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1"/>
    </row>
    <row r="1563" spans="1:49" x14ac:dyDescent="0.25">
      <c r="A1563" s="11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1"/>
    </row>
    <row r="1564" spans="1:49" x14ac:dyDescent="0.25">
      <c r="A1564" s="11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1"/>
    </row>
    <row r="1565" spans="1:49" x14ac:dyDescent="0.25">
      <c r="A1565" s="11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1"/>
    </row>
    <row r="1566" spans="1:49" x14ac:dyDescent="0.25">
      <c r="A1566" s="11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1"/>
    </row>
    <row r="1567" spans="1:49" x14ac:dyDescent="0.25">
      <c r="A1567" s="11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1"/>
    </row>
    <row r="1568" spans="1:49" x14ac:dyDescent="0.25">
      <c r="A1568" s="11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1"/>
    </row>
    <row r="1569" spans="1:49" x14ac:dyDescent="0.25">
      <c r="A1569" s="11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1"/>
    </row>
  </sheetData>
  <mergeCells count="2">
    <mergeCell ref="A1:AO1"/>
    <mergeCell ref="B2:AO2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AX612"/>
  <sheetViews>
    <sheetView tabSelected="1" zoomScaleNormal="100" workbookViewId="0">
      <pane ySplit="1" topLeftCell="A584" activePane="bottomLeft" state="frozen"/>
      <selection pane="bottomLeft" activeCell="B594" sqref="B594:G612"/>
    </sheetView>
  </sheetViews>
  <sheetFormatPr defaultColWidth="8.7109375" defaultRowHeight="15" x14ac:dyDescent="0.25"/>
  <cols>
    <col min="1" max="1" width="13" style="1" customWidth="1"/>
    <col min="2" max="2" width="28.85546875" style="1" customWidth="1"/>
    <col min="3" max="3" width="26.28515625" style="1" customWidth="1"/>
    <col min="4" max="4" width="23.5703125" style="1" customWidth="1"/>
    <col min="5" max="5" width="17.140625" style="1" customWidth="1"/>
    <col min="6" max="6" width="27.7109375" style="1" customWidth="1"/>
    <col min="7" max="7" width="26.42578125" style="1" customWidth="1"/>
    <col min="8" max="8" width="13.7109375" style="1" customWidth="1"/>
    <col min="9" max="9" width="23" style="1" customWidth="1"/>
    <col min="10" max="10" width="7.42578125" style="1" customWidth="1"/>
    <col min="11" max="11" width="15" style="1" customWidth="1"/>
    <col min="12" max="12" width="17.42578125" style="1" customWidth="1"/>
    <col min="13" max="13" width="15" style="1" customWidth="1"/>
    <col min="14" max="14" width="21.140625" style="1" customWidth="1"/>
    <col min="15" max="15" width="33" style="1" customWidth="1"/>
    <col min="16" max="16" width="16.7109375" style="1" customWidth="1"/>
    <col min="17" max="17" width="17.28515625" style="1" customWidth="1"/>
    <col min="18" max="18" width="39.140625" style="1" customWidth="1"/>
    <col min="19" max="19" width="13.42578125" style="1" customWidth="1"/>
    <col min="20" max="20" width="18.7109375" style="1" customWidth="1"/>
    <col min="21" max="21" width="13.7109375" style="1" customWidth="1"/>
    <col min="22" max="22" width="22.85546875" style="1" customWidth="1"/>
    <col min="23" max="23" width="5.7109375" style="1" customWidth="1"/>
    <col min="24" max="24" width="12.5703125" style="1" customWidth="1"/>
    <col min="25" max="25" width="18.7109375" style="1" customWidth="1"/>
    <col min="26" max="26" width="19.5703125" style="1" customWidth="1"/>
    <col min="27" max="27" width="14.5703125" style="1" customWidth="1"/>
    <col min="28" max="28" width="15" style="1" customWidth="1"/>
    <col min="29" max="29" width="16.85546875" style="1" customWidth="1"/>
    <col min="30" max="30" width="19.5703125" style="1" customWidth="1"/>
    <col min="31" max="31" width="4.5703125" style="1" customWidth="1"/>
    <col min="32" max="32" width="14.5703125" style="1" customWidth="1"/>
    <col min="33" max="33" width="16.85546875" style="1" customWidth="1"/>
    <col min="34" max="34" width="15.42578125" style="1" customWidth="1"/>
    <col min="35" max="35" width="21.5703125" style="1" customWidth="1"/>
    <col min="36" max="36" width="10.42578125" style="1" customWidth="1"/>
    <col min="37" max="37" width="14.28515625" style="1" customWidth="1"/>
    <col min="38" max="38" width="14.42578125" style="1" customWidth="1"/>
    <col min="39" max="39" width="13.42578125" style="1" customWidth="1"/>
    <col min="40" max="40" width="11.5703125" style="1" customWidth="1"/>
    <col min="41" max="41" width="17.28515625" style="1" customWidth="1"/>
    <col min="42" max="42" width="20.5703125" style="1" customWidth="1"/>
    <col min="43" max="43" width="18" style="1" customWidth="1"/>
    <col min="44" max="44" width="24" style="1" customWidth="1"/>
    <col min="45" max="45" width="28" style="1" customWidth="1"/>
    <col min="46" max="46" width="34.140625" style="1" customWidth="1"/>
    <col min="47" max="47" width="21" style="1" customWidth="1"/>
    <col min="48" max="48" width="25.28515625" style="1" customWidth="1"/>
    <col min="49" max="49" width="38.85546875" style="1" customWidth="1"/>
    <col min="50" max="50" width="23.85546875" style="1" customWidth="1"/>
  </cols>
  <sheetData>
    <row r="1" spans="1:7" ht="15" customHeight="1" x14ac:dyDescent="0.25">
      <c r="A1" s="52" t="s">
        <v>200</v>
      </c>
      <c r="B1" s="53" t="s">
        <v>201</v>
      </c>
      <c r="C1" s="53" t="s">
        <v>202</v>
      </c>
      <c r="D1" s="53" t="s">
        <v>203</v>
      </c>
      <c r="E1" s="53" t="s">
        <v>204</v>
      </c>
      <c r="F1" s="53" t="s">
        <v>205</v>
      </c>
      <c r="G1" s="53" t="s">
        <v>206</v>
      </c>
    </row>
    <row r="2" spans="1:7" ht="15" customHeight="1" x14ac:dyDescent="0.25">
      <c r="A2" s="54">
        <v>46072</v>
      </c>
      <c r="B2" s="53" t="s">
        <v>125</v>
      </c>
      <c r="C2" s="53" t="s">
        <v>207</v>
      </c>
      <c r="D2" s="53" t="s">
        <v>208</v>
      </c>
      <c r="E2" s="53" t="s">
        <v>209</v>
      </c>
      <c r="F2" s="53" t="s">
        <v>210</v>
      </c>
      <c r="G2" s="55" t="s">
        <v>211</v>
      </c>
    </row>
    <row r="3" spans="1:7" ht="15" customHeight="1" x14ac:dyDescent="0.25">
      <c r="A3" s="54">
        <v>46072</v>
      </c>
      <c r="B3" s="53" t="s">
        <v>125</v>
      </c>
      <c r="C3" s="53" t="s">
        <v>212</v>
      </c>
      <c r="D3" s="53" t="s">
        <v>213</v>
      </c>
      <c r="E3" s="53" t="s">
        <v>214</v>
      </c>
      <c r="F3" s="53" t="s">
        <v>215</v>
      </c>
      <c r="G3" s="55" t="s">
        <v>216</v>
      </c>
    </row>
    <row r="4" spans="1:7" ht="15" customHeight="1" x14ac:dyDescent="0.25">
      <c r="A4" s="54">
        <v>46072</v>
      </c>
      <c r="B4" s="53" t="s">
        <v>217</v>
      </c>
      <c r="C4" s="53"/>
      <c r="D4" s="53" t="s">
        <v>218</v>
      </c>
      <c r="E4" s="53" t="s">
        <v>214</v>
      </c>
      <c r="F4" s="53"/>
      <c r="G4" s="55" t="s">
        <v>219</v>
      </c>
    </row>
    <row r="5" spans="1:7" ht="15" customHeight="1" x14ac:dyDescent="0.25">
      <c r="A5" s="54">
        <v>46072</v>
      </c>
      <c r="B5" s="53" t="s">
        <v>220</v>
      </c>
      <c r="C5" s="53"/>
      <c r="D5" s="53" t="s">
        <v>221</v>
      </c>
      <c r="E5" s="53" t="s">
        <v>214</v>
      </c>
      <c r="F5" s="53"/>
      <c r="G5" s="55" t="s">
        <v>216</v>
      </c>
    </row>
    <row r="6" spans="1:7" ht="15" customHeight="1" x14ac:dyDescent="0.25">
      <c r="A6" s="54">
        <v>46072</v>
      </c>
      <c r="B6" s="53"/>
      <c r="C6" s="53"/>
      <c r="D6" s="53" t="s">
        <v>222</v>
      </c>
      <c r="E6" s="53" t="s">
        <v>223</v>
      </c>
      <c r="F6" s="53"/>
      <c r="G6" s="55" t="s">
        <v>224</v>
      </c>
    </row>
    <row r="7" spans="1:7" ht="15" customHeight="1" x14ac:dyDescent="0.25">
      <c r="A7" s="54">
        <v>46072</v>
      </c>
      <c r="B7" s="53"/>
      <c r="C7" s="53"/>
      <c r="D7" s="53" t="s">
        <v>225</v>
      </c>
      <c r="E7" s="53" t="s">
        <v>214</v>
      </c>
      <c r="F7" s="53"/>
      <c r="G7" s="55" t="s">
        <v>224</v>
      </c>
    </row>
    <row r="8" spans="1:7" ht="15" customHeight="1" x14ac:dyDescent="0.25">
      <c r="A8" s="54">
        <v>46072</v>
      </c>
      <c r="B8" s="53"/>
      <c r="C8" s="53"/>
      <c r="D8" s="53"/>
      <c r="E8" s="53" t="s">
        <v>226</v>
      </c>
      <c r="F8" s="53"/>
      <c r="G8" s="55"/>
    </row>
    <row r="9" spans="1:7" ht="15" customHeight="1" x14ac:dyDescent="0.25">
      <c r="A9" s="54">
        <v>46072</v>
      </c>
      <c r="B9" s="53"/>
      <c r="C9" s="53"/>
      <c r="D9" s="53"/>
      <c r="E9" s="53" t="s">
        <v>226</v>
      </c>
      <c r="F9" s="53"/>
      <c r="G9" s="55"/>
    </row>
    <row r="10" spans="1:7" ht="15" customHeight="1" x14ac:dyDescent="0.25">
      <c r="A10" s="54">
        <v>46072</v>
      </c>
      <c r="B10" s="53"/>
      <c r="C10" s="53"/>
      <c r="D10" s="53"/>
      <c r="E10" s="53" t="s">
        <v>223</v>
      </c>
      <c r="F10" s="53"/>
      <c r="G10" s="55"/>
    </row>
    <row r="11" spans="1:7" ht="15" customHeight="1" x14ac:dyDescent="0.25">
      <c r="A11" s="54">
        <v>46072</v>
      </c>
      <c r="B11" s="53"/>
      <c r="C11" s="53"/>
      <c r="D11" s="53"/>
      <c r="E11" s="53" t="s">
        <v>214</v>
      </c>
      <c r="F11" s="53"/>
      <c r="G11" s="55"/>
    </row>
    <row r="12" spans="1:7" ht="15" customHeight="1" x14ac:dyDescent="0.25">
      <c r="A12" s="54">
        <v>46072</v>
      </c>
      <c r="B12" s="53"/>
      <c r="C12" s="53"/>
      <c r="D12" s="53"/>
      <c r="E12" s="53" t="s">
        <v>223</v>
      </c>
      <c r="F12" s="53"/>
      <c r="G12" s="55"/>
    </row>
    <row r="13" spans="1:7" ht="15" customHeight="1" x14ac:dyDescent="0.25">
      <c r="A13" s="54">
        <v>46072</v>
      </c>
      <c r="B13" s="53"/>
      <c r="C13" s="53"/>
      <c r="D13" s="53"/>
      <c r="E13" s="53" t="s">
        <v>227</v>
      </c>
      <c r="F13" s="53"/>
      <c r="G13" s="55"/>
    </row>
    <row r="14" spans="1:7" ht="15" customHeight="1" x14ac:dyDescent="0.25">
      <c r="A14" s="54">
        <v>46072</v>
      </c>
      <c r="B14" s="53"/>
      <c r="C14" s="53"/>
      <c r="D14" s="53"/>
      <c r="E14" s="53" t="s">
        <v>214</v>
      </c>
      <c r="F14" s="53"/>
      <c r="G14" s="55"/>
    </row>
    <row r="15" spans="1:7" ht="15" customHeight="1" x14ac:dyDescent="0.25">
      <c r="A15" s="56">
        <v>46072</v>
      </c>
      <c r="B15" s="57"/>
      <c r="C15" s="57"/>
      <c r="D15" s="57"/>
      <c r="E15" s="57" t="s">
        <v>228</v>
      </c>
      <c r="F15" s="57"/>
      <c r="G15" s="58"/>
    </row>
    <row r="16" spans="1:7" ht="15" customHeight="1" x14ac:dyDescent="0.25">
      <c r="A16" s="54">
        <v>46073</v>
      </c>
      <c r="B16" s="53"/>
      <c r="C16" s="53" t="s">
        <v>218</v>
      </c>
      <c r="D16" s="53" t="s">
        <v>229</v>
      </c>
      <c r="E16" s="53" t="s">
        <v>228</v>
      </c>
      <c r="F16" s="53" t="s">
        <v>210</v>
      </c>
      <c r="G16" s="55"/>
    </row>
    <row r="17" spans="1:7" ht="15" customHeight="1" x14ac:dyDescent="0.25">
      <c r="A17" s="54">
        <v>46073</v>
      </c>
      <c r="B17" s="53"/>
      <c r="C17" s="53" t="s">
        <v>230</v>
      </c>
      <c r="D17" s="53" t="s">
        <v>221</v>
      </c>
      <c r="E17" s="53" t="s">
        <v>228</v>
      </c>
      <c r="F17" s="53"/>
      <c r="G17" s="55"/>
    </row>
    <row r="18" spans="1:7" ht="15" customHeight="1" x14ac:dyDescent="0.25">
      <c r="A18" s="54">
        <v>46073</v>
      </c>
      <c r="B18" s="53"/>
      <c r="C18" s="53" t="s">
        <v>230</v>
      </c>
      <c r="D18" s="53" t="s">
        <v>229</v>
      </c>
      <c r="E18" s="53" t="s">
        <v>231</v>
      </c>
      <c r="F18" s="53"/>
      <c r="G18" s="55"/>
    </row>
    <row r="19" spans="1:7" ht="15" customHeight="1" x14ac:dyDescent="0.25">
      <c r="A19" s="54">
        <v>46073</v>
      </c>
      <c r="B19" s="53"/>
      <c r="C19" s="53" t="s">
        <v>212</v>
      </c>
      <c r="D19" s="53" t="s">
        <v>229</v>
      </c>
      <c r="E19" s="53" t="s">
        <v>231</v>
      </c>
      <c r="F19" s="53"/>
      <c r="G19" s="55"/>
    </row>
    <row r="20" spans="1:7" ht="15" customHeight="1" x14ac:dyDescent="0.25">
      <c r="A20" s="54">
        <v>46073</v>
      </c>
      <c r="B20" s="53"/>
      <c r="C20" s="53" t="s">
        <v>230</v>
      </c>
      <c r="D20" s="53"/>
      <c r="E20" s="53" t="s">
        <v>226</v>
      </c>
      <c r="F20" s="53"/>
      <c r="G20" s="55"/>
    </row>
    <row r="21" spans="1:7" ht="15" customHeight="1" x14ac:dyDescent="0.25">
      <c r="A21" s="54">
        <v>46073</v>
      </c>
      <c r="B21" s="53"/>
      <c r="C21" s="53" t="s">
        <v>232</v>
      </c>
      <c r="D21" s="53"/>
      <c r="E21" s="53" t="s">
        <v>226</v>
      </c>
      <c r="F21" s="53"/>
      <c r="G21" s="55"/>
    </row>
    <row r="22" spans="1:7" ht="15" customHeight="1" x14ac:dyDescent="0.25">
      <c r="A22" s="54">
        <v>46073</v>
      </c>
      <c r="B22" s="53"/>
      <c r="C22" s="53"/>
      <c r="D22" s="53"/>
      <c r="E22" s="53" t="s">
        <v>226</v>
      </c>
      <c r="F22" s="53"/>
      <c r="G22" s="55"/>
    </row>
    <row r="23" spans="1:7" ht="15" customHeight="1" x14ac:dyDescent="0.25">
      <c r="A23" s="54">
        <v>46073</v>
      </c>
      <c r="B23" s="53"/>
      <c r="C23" s="53"/>
      <c r="D23" s="53"/>
      <c r="E23" s="53" t="s">
        <v>226</v>
      </c>
      <c r="F23" s="53"/>
      <c r="G23" s="55"/>
    </row>
    <row r="24" spans="1:7" ht="15" customHeight="1" x14ac:dyDescent="0.25">
      <c r="A24" s="54">
        <v>46073</v>
      </c>
      <c r="B24" s="53"/>
      <c r="C24" s="53"/>
      <c r="D24" s="53"/>
      <c r="E24" s="53" t="s">
        <v>231</v>
      </c>
      <c r="F24" s="53"/>
      <c r="G24" s="55"/>
    </row>
    <row r="25" spans="1:7" ht="15" customHeight="1" x14ac:dyDescent="0.25">
      <c r="A25" s="54">
        <v>46073</v>
      </c>
      <c r="B25" s="53"/>
      <c r="C25" s="53"/>
      <c r="D25" s="53"/>
      <c r="E25" s="53" t="s">
        <v>231</v>
      </c>
      <c r="F25" s="53"/>
      <c r="G25" s="55"/>
    </row>
    <row r="26" spans="1:7" ht="15" customHeight="1" x14ac:dyDescent="0.25">
      <c r="A26" s="54">
        <v>46073</v>
      </c>
      <c r="B26" s="53"/>
      <c r="C26" s="53"/>
      <c r="D26" s="53"/>
      <c r="E26" s="53" t="s">
        <v>231</v>
      </c>
      <c r="F26" s="53"/>
      <c r="G26" s="55"/>
    </row>
    <row r="27" spans="1:7" ht="15" customHeight="1" x14ac:dyDescent="0.25">
      <c r="A27" s="54">
        <v>46073</v>
      </c>
      <c r="B27" s="53"/>
      <c r="C27" s="53"/>
      <c r="D27" s="53"/>
      <c r="E27" s="53" t="s">
        <v>231</v>
      </c>
      <c r="F27" s="53"/>
      <c r="G27" s="55"/>
    </row>
    <row r="28" spans="1:7" ht="15" customHeight="1" x14ac:dyDescent="0.25">
      <c r="A28" s="56">
        <v>46073</v>
      </c>
      <c r="B28" s="57"/>
      <c r="C28" s="57"/>
      <c r="D28" s="57"/>
      <c r="E28" s="57" t="s">
        <v>231</v>
      </c>
      <c r="F28" s="57"/>
      <c r="G28" s="58"/>
    </row>
    <row r="29" spans="1:7" ht="15" customHeight="1" x14ac:dyDescent="0.25">
      <c r="A29" s="54">
        <v>46076</v>
      </c>
      <c r="B29" s="59" t="s">
        <v>233</v>
      </c>
      <c r="C29" s="59"/>
      <c r="D29" s="59" t="s">
        <v>213</v>
      </c>
      <c r="E29" s="59" t="s">
        <v>234</v>
      </c>
      <c r="F29" s="59"/>
      <c r="G29" s="60" t="s">
        <v>235</v>
      </c>
    </row>
    <row r="30" spans="1:7" ht="15" customHeight="1" x14ac:dyDescent="0.25">
      <c r="A30" s="54">
        <v>46076</v>
      </c>
      <c r="B30" s="53" t="s">
        <v>218</v>
      </c>
      <c r="C30" s="53"/>
      <c r="D30" s="53"/>
      <c r="E30" s="53"/>
      <c r="F30" s="53"/>
      <c r="G30" s="55" t="s">
        <v>216</v>
      </c>
    </row>
    <row r="31" spans="1:7" ht="15" customHeight="1" x14ac:dyDescent="0.25">
      <c r="A31" s="54">
        <v>46076</v>
      </c>
      <c r="B31" s="53" t="s">
        <v>236</v>
      </c>
      <c r="C31" s="53"/>
      <c r="D31" s="53"/>
      <c r="E31" s="53"/>
      <c r="F31" s="53"/>
      <c r="G31" s="55"/>
    </row>
    <row r="32" spans="1:7" ht="15" customHeight="1" x14ac:dyDescent="0.25">
      <c r="A32" s="54">
        <v>46076</v>
      </c>
      <c r="B32" s="53" t="s">
        <v>218</v>
      </c>
      <c r="C32" s="53"/>
      <c r="D32" s="53"/>
      <c r="E32" s="53"/>
      <c r="F32" s="53"/>
      <c r="G32" s="55"/>
    </row>
    <row r="33" spans="1:7" ht="15" customHeight="1" x14ac:dyDescent="0.25">
      <c r="A33" s="54">
        <v>46076</v>
      </c>
      <c r="B33" s="53" t="s">
        <v>103</v>
      </c>
      <c r="C33" s="53"/>
      <c r="D33" s="53"/>
      <c r="E33" s="53"/>
      <c r="F33" s="53"/>
      <c r="G33" s="55"/>
    </row>
    <row r="34" spans="1:7" ht="15" customHeight="1" x14ac:dyDescent="0.25">
      <c r="A34" s="56">
        <v>46076</v>
      </c>
      <c r="B34" s="57" t="s">
        <v>237</v>
      </c>
      <c r="C34" s="57"/>
      <c r="D34" s="57"/>
      <c r="E34" s="57"/>
      <c r="F34" s="57"/>
      <c r="G34" s="58"/>
    </row>
    <row r="35" spans="1:7" ht="15" customHeight="1" x14ac:dyDescent="0.25">
      <c r="A35" s="54">
        <v>46077</v>
      </c>
      <c r="B35" s="53" t="s">
        <v>237</v>
      </c>
      <c r="C35" s="53"/>
      <c r="D35" s="53"/>
      <c r="E35" s="53"/>
      <c r="F35" s="53" t="s">
        <v>238</v>
      </c>
      <c r="G35" s="55" t="s">
        <v>120</v>
      </c>
    </row>
    <row r="36" spans="1:7" ht="15" customHeight="1" x14ac:dyDescent="0.25">
      <c r="A36" s="54">
        <v>46077</v>
      </c>
      <c r="B36" s="53" t="s">
        <v>237</v>
      </c>
      <c r="C36" s="53"/>
      <c r="D36" s="53"/>
      <c r="E36" s="53"/>
      <c r="F36" s="53" t="s">
        <v>215</v>
      </c>
      <c r="G36" s="55" t="s">
        <v>235</v>
      </c>
    </row>
    <row r="37" spans="1:7" ht="15" customHeight="1" x14ac:dyDescent="0.25">
      <c r="A37" s="54">
        <v>46077</v>
      </c>
      <c r="B37" s="53" t="s">
        <v>220</v>
      </c>
      <c r="C37" s="53"/>
      <c r="D37" s="53"/>
      <c r="E37" s="53"/>
      <c r="F37" s="53"/>
      <c r="G37" s="55"/>
    </row>
    <row r="38" spans="1:7" ht="15" customHeight="1" x14ac:dyDescent="0.25">
      <c r="A38" s="54">
        <v>46077</v>
      </c>
      <c r="B38" s="53" t="s">
        <v>237</v>
      </c>
      <c r="C38" s="53"/>
      <c r="D38" s="53"/>
      <c r="E38" s="53"/>
      <c r="F38" s="53"/>
      <c r="G38" s="55"/>
    </row>
    <row r="39" spans="1:7" ht="15" customHeight="1" x14ac:dyDescent="0.25">
      <c r="A39" s="54">
        <v>46077</v>
      </c>
      <c r="B39" s="53" t="s">
        <v>239</v>
      </c>
      <c r="C39" s="53"/>
      <c r="D39" s="53"/>
      <c r="E39" s="53"/>
      <c r="F39" s="53"/>
      <c r="G39" s="55"/>
    </row>
    <row r="40" spans="1:7" ht="15" customHeight="1" x14ac:dyDescent="0.25">
      <c r="A40" s="54">
        <v>46077</v>
      </c>
      <c r="B40" s="53" t="s">
        <v>233</v>
      </c>
      <c r="C40" s="53"/>
      <c r="D40" s="53"/>
      <c r="E40" s="53"/>
      <c r="F40" s="53"/>
      <c r="G40" s="55"/>
    </row>
    <row r="41" spans="1:7" ht="15" customHeight="1" x14ac:dyDescent="0.25">
      <c r="A41" s="54">
        <v>46077</v>
      </c>
      <c r="B41" s="53" t="s">
        <v>233</v>
      </c>
      <c r="C41" s="53"/>
      <c r="D41" s="53"/>
      <c r="E41" s="53"/>
      <c r="F41" s="53"/>
      <c r="G41" s="55"/>
    </row>
    <row r="42" spans="1:7" ht="15" customHeight="1" x14ac:dyDescent="0.25">
      <c r="A42" s="54">
        <v>46077</v>
      </c>
      <c r="B42" s="53" t="s">
        <v>218</v>
      </c>
      <c r="C42" s="53"/>
      <c r="D42" s="53"/>
      <c r="E42" s="53"/>
      <c r="F42" s="53"/>
      <c r="G42" s="55"/>
    </row>
    <row r="43" spans="1:7" ht="15" customHeight="1" x14ac:dyDescent="0.25">
      <c r="A43" s="54">
        <v>46077</v>
      </c>
      <c r="B43" s="53" t="s">
        <v>218</v>
      </c>
      <c r="C43" s="53"/>
      <c r="D43" s="53"/>
      <c r="E43" s="53"/>
      <c r="F43" s="53"/>
      <c r="G43" s="55"/>
    </row>
    <row r="44" spans="1:7" ht="15" customHeight="1" x14ac:dyDescent="0.25">
      <c r="A44" s="54">
        <v>46077</v>
      </c>
      <c r="B44" s="53" t="s">
        <v>103</v>
      </c>
      <c r="C44" s="53"/>
      <c r="D44" s="53"/>
      <c r="E44" s="53"/>
      <c r="F44" s="53"/>
      <c r="G44" s="55"/>
    </row>
    <row r="45" spans="1:7" ht="15" customHeight="1" x14ac:dyDescent="0.25">
      <c r="A45" s="54">
        <v>46077</v>
      </c>
      <c r="B45" s="53" t="s">
        <v>240</v>
      </c>
      <c r="C45" s="53"/>
      <c r="D45" s="53"/>
      <c r="E45" s="53"/>
      <c r="F45" s="53"/>
      <c r="G45" s="55"/>
    </row>
    <row r="46" spans="1:7" ht="15.75" customHeight="1" x14ac:dyDescent="0.25">
      <c r="A46" s="54">
        <v>46077</v>
      </c>
      <c r="B46" s="53" t="s">
        <v>217</v>
      </c>
      <c r="C46" s="53"/>
      <c r="D46" s="53"/>
      <c r="E46" s="53"/>
      <c r="F46" s="53"/>
      <c r="G46" s="55"/>
    </row>
    <row r="47" spans="1:7" ht="15" customHeight="1" x14ac:dyDescent="0.25">
      <c r="A47" s="61">
        <v>46078</v>
      </c>
      <c r="B47" s="62" t="s">
        <v>239</v>
      </c>
      <c r="C47" s="62" t="s">
        <v>241</v>
      </c>
      <c r="D47" s="62" t="s">
        <v>229</v>
      </c>
      <c r="E47" s="62" t="s">
        <v>242</v>
      </c>
      <c r="F47" s="62" t="s">
        <v>243</v>
      </c>
      <c r="G47" s="63" t="s">
        <v>244</v>
      </c>
    </row>
    <row r="48" spans="1:7" ht="15" customHeight="1" x14ac:dyDescent="0.25">
      <c r="A48" s="54">
        <v>46078</v>
      </c>
      <c r="B48" s="53" t="s">
        <v>239</v>
      </c>
      <c r="C48" s="53"/>
      <c r="D48" s="53" t="s">
        <v>225</v>
      </c>
      <c r="E48" s="53" t="s">
        <v>228</v>
      </c>
      <c r="F48" s="53"/>
      <c r="G48" s="55"/>
    </row>
    <row r="49" spans="1:7" ht="15" customHeight="1" x14ac:dyDescent="0.25">
      <c r="A49" s="54">
        <v>46078</v>
      </c>
      <c r="B49" s="53" t="s">
        <v>237</v>
      </c>
      <c r="C49" s="53"/>
      <c r="D49" s="53"/>
      <c r="E49" s="53"/>
      <c r="F49" s="53"/>
      <c r="G49" s="55"/>
    </row>
    <row r="50" spans="1:7" ht="15.75" customHeight="1" x14ac:dyDescent="0.25">
      <c r="A50" s="54">
        <v>46078</v>
      </c>
      <c r="B50" s="53" t="s">
        <v>239</v>
      </c>
      <c r="C50" s="64"/>
      <c r="D50" s="53"/>
      <c r="E50" s="53"/>
      <c r="F50" s="53"/>
      <c r="G50" s="55"/>
    </row>
    <row r="51" spans="1:7" ht="15" customHeight="1" x14ac:dyDescent="0.25">
      <c r="A51" s="61">
        <v>46079</v>
      </c>
      <c r="B51" s="62" t="s">
        <v>236</v>
      </c>
      <c r="C51" s="53" t="s">
        <v>241</v>
      </c>
      <c r="D51" s="62" t="s">
        <v>225</v>
      </c>
      <c r="E51" s="62" t="s">
        <v>228</v>
      </c>
      <c r="F51" s="62" t="s">
        <v>210</v>
      </c>
      <c r="G51" s="63" t="s">
        <v>219</v>
      </c>
    </row>
    <row r="52" spans="1:7" ht="15" customHeight="1" x14ac:dyDescent="0.25">
      <c r="A52" s="54">
        <v>46079</v>
      </c>
      <c r="B52" s="53" t="s">
        <v>220</v>
      </c>
      <c r="C52" s="53" t="s">
        <v>245</v>
      </c>
      <c r="D52" s="53" t="s">
        <v>221</v>
      </c>
      <c r="E52" s="53" t="s">
        <v>228</v>
      </c>
      <c r="F52" s="53" t="s">
        <v>238</v>
      </c>
      <c r="G52" s="55" t="s">
        <v>246</v>
      </c>
    </row>
    <row r="53" spans="1:7" ht="15" customHeight="1" x14ac:dyDescent="0.25">
      <c r="A53" s="54">
        <v>46079</v>
      </c>
      <c r="B53" s="53" t="s">
        <v>220</v>
      </c>
      <c r="C53" s="53" t="s">
        <v>245</v>
      </c>
      <c r="D53" s="53" t="s">
        <v>208</v>
      </c>
      <c r="E53" s="53" t="s">
        <v>228</v>
      </c>
      <c r="F53" s="53" t="s">
        <v>238</v>
      </c>
      <c r="G53" s="55" t="s">
        <v>247</v>
      </c>
    </row>
    <row r="54" spans="1:7" ht="15" customHeight="1" x14ac:dyDescent="0.25">
      <c r="A54" s="54">
        <v>46079</v>
      </c>
      <c r="B54" s="53" t="s">
        <v>237</v>
      </c>
      <c r="C54" s="53" t="s">
        <v>245</v>
      </c>
      <c r="D54" s="53" t="s">
        <v>225</v>
      </c>
      <c r="E54" s="53" t="s">
        <v>228</v>
      </c>
      <c r="F54" s="53"/>
      <c r="G54" s="55"/>
    </row>
    <row r="55" spans="1:7" ht="15" customHeight="1" x14ac:dyDescent="0.25">
      <c r="A55" s="54">
        <v>46079</v>
      </c>
      <c r="B55" s="53" t="s">
        <v>233</v>
      </c>
      <c r="C55" s="53"/>
      <c r="D55" s="53" t="s">
        <v>229</v>
      </c>
      <c r="E55" s="53" t="s">
        <v>226</v>
      </c>
      <c r="F55" s="53"/>
      <c r="G55" s="55"/>
    </row>
    <row r="56" spans="1:7" ht="15" customHeight="1" x14ac:dyDescent="0.25">
      <c r="A56" s="54">
        <v>46079</v>
      </c>
      <c r="B56" s="53" t="s">
        <v>236</v>
      </c>
      <c r="C56" s="53"/>
      <c r="D56" s="53" t="s">
        <v>221</v>
      </c>
      <c r="E56" s="53" t="s">
        <v>228</v>
      </c>
      <c r="F56" s="53"/>
      <c r="G56" s="55"/>
    </row>
    <row r="57" spans="1:7" ht="15" customHeight="1" x14ac:dyDescent="0.25">
      <c r="A57" s="54">
        <v>46079</v>
      </c>
      <c r="B57" s="53" t="s">
        <v>236</v>
      </c>
      <c r="C57" s="53"/>
      <c r="D57" s="53" t="s">
        <v>208</v>
      </c>
      <c r="E57" s="53" t="s">
        <v>228</v>
      </c>
      <c r="F57" s="53"/>
      <c r="G57" s="55"/>
    </row>
    <row r="58" spans="1:7" ht="15" customHeight="1" x14ac:dyDescent="0.25">
      <c r="A58" s="54">
        <v>46079</v>
      </c>
      <c r="B58" s="53" t="s">
        <v>237</v>
      </c>
      <c r="C58" s="53"/>
      <c r="D58" s="53"/>
      <c r="E58" s="53" t="s">
        <v>228</v>
      </c>
      <c r="F58" s="53"/>
      <c r="G58" s="55"/>
    </row>
    <row r="59" spans="1:7" ht="15" customHeight="1" x14ac:dyDescent="0.25">
      <c r="A59" s="54">
        <v>46079</v>
      </c>
      <c r="B59" s="53" t="s">
        <v>237</v>
      </c>
      <c r="C59" s="53"/>
      <c r="D59" s="53"/>
      <c r="E59" s="53" t="s">
        <v>228</v>
      </c>
      <c r="F59" s="53"/>
      <c r="G59" s="55"/>
    </row>
    <row r="60" spans="1:7" ht="15" customHeight="1" x14ac:dyDescent="0.25">
      <c r="A60" s="56">
        <v>46079</v>
      </c>
      <c r="B60" s="57" t="s">
        <v>103</v>
      </c>
      <c r="C60" s="57"/>
      <c r="D60" s="57"/>
      <c r="E60" s="57" t="s">
        <v>228</v>
      </c>
      <c r="F60" s="57"/>
      <c r="G60" s="58"/>
    </row>
    <row r="61" spans="1:7" ht="15" customHeight="1" x14ac:dyDescent="0.25">
      <c r="A61" s="54">
        <v>46080</v>
      </c>
      <c r="B61" s="53" t="s">
        <v>220</v>
      </c>
      <c r="C61" s="53"/>
      <c r="D61" s="53" t="s">
        <v>208</v>
      </c>
      <c r="E61" s="53" t="s">
        <v>228</v>
      </c>
      <c r="F61" s="53"/>
      <c r="G61" s="55" t="s">
        <v>247</v>
      </c>
    </row>
    <row r="62" spans="1:7" ht="15" customHeight="1" x14ac:dyDescent="0.25">
      <c r="A62" s="54">
        <v>46080</v>
      </c>
      <c r="B62" s="53" t="s">
        <v>233</v>
      </c>
      <c r="C62" s="53"/>
      <c r="D62" s="53" t="s">
        <v>229</v>
      </c>
      <c r="E62" s="53" t="s">
        <v>228</v>
      </c>
      <c r="F62" s="53"/>
      <c r="G62" s="55" t="s">
        <v>247</v>
      </c>
    </row>
    <row r="63" spans="1:7" ht="15" customHeight="1" x14ac:dyDescent="0.25">
      <c r="A63" s="54">
        <v>46080</v>
      </c>
      <c r="B63" s="53" t="s">
        <v>233</v>
      </c>
      <c r="C63" s="53"/>
      <c r="D63" s="53" t="s">
        <v>221</v>
      </c>
      <c r="E63" s="53" t="s">
        <v>228</v>
      </c>
      <c r="F63" s="53"/>
      <c r="G63" s="55" t="s">
        <v>247</v>
      </c>
    </row>
    <row r="64" spans="1:7" ht="15" customHeight="1" x14ac:dyDescent="0.25">
      <c r="A64" s="54">
        <v>46080</v>
      </c>
      <c r="B64" s="53" t="s">
        <v>237</v>
      </c>
      <c r="C64" s="53"/>
      <c r="D64" s="53" t="s">
        <v>221</v>
      </c>
      <c r="E64" s="53"/>
      <c r="F64" s="53"/>
      <c r="G64" s="55" t="s">
        <v>247</v>
      </c>
    </row>
    <row r="65" spans="1:7" ht="15" customHeight="1" x14ac:dyDescent="0.25">
      <c r="A65" s="54">
        <v>46080</v>
      </c>
      <c r="B65" s="53"/>
      <c r="C65" s="53"/>
      <c r="D65" s="53" t="s">
        <v>229</v>
      </c>
      <c r="E65" s="53"/>
      <c r="F65" s="53"/>
      <c r="G65" s="55" t="s">
        <v>247</v>
      </c>
    </row>
    <row r="66" spans="1:7" ht="15" customHeight="1" x14ac:dyDescent="0.25">
      <c r="A66" s="56">
        <v>46080</v>
      </c>
      <c r="B66" s="57"/>
      <c r="C66" s="57"/>
      <c r="D66" s="57" t="s">
        <v>221</v>
      </c>
      <c r="E66" s="57"/>
      <c r="F66" s="57"/>
      <c r="G66" s="58"/>
    </row>
    <row r="67" spans="1:7" ht="15" customHeight="1" x14ac:dyDescent="0.25">
      <c r="A67" s="54">
        <v>46083</v>
      </c>
      <c r="B67" s="53" t="s">
        <v>220</v>
      </c>
      <c r="C67" s="53" t="s">
        <v>207</v>
      </c>
      <c r="D67" s="53"/>
      <c r="E67" s="53"/>
      <c r="F67" s="53" t="s">
        <v>210</v>
      </c>
      <c r="G67" s="55" t="s">
        <v>247</v>
      </c>
    </row>
    <row r="68" spans="1:7" ht="15" customHeight="1" x14ac:dyDescent="0.25">
      <c r="A68" s="54">
        <v>46083</v>
      </c>
      <c r="B68" s="53" t="s">
        <v>233</v>
      </c>
      <c r="C68" s="53"/>
      <c r="D68" s="53"/>
      <c r="E68" s="53"/>
      <c r="F68" s="53"/>
      <c r="G68" s="55" t="s">
        <v>247</v>
      </c>
    </row>
    <row r="69" spans="1:7" ht="15" customHeight="1" x14ac:dyDescent="0.25">
      <c r="A69" s="54">
        <v>46083</v>
      </c>
      <c r="B69" s="53" t="s">
        <v>220</v>
      </c>
      <c r="C69" s="53"/>
      <c r="D69" s="53"/>
      <c r="E69" s="53"/>
      <c r="F69" s="53"/>
      <c r="G69" s="55"/>
    </row>
    <row r="70" spans="1:7" ht="15.75" customHeight="1" x14ac:dyDescent="0.25">
      <c r="A70" s="65">
        <v>46083</v>
      </c>
      <c r="B70" s="53" t="s">
        <v>239</v>
      </c>
      <c r="C70" s="53"/>
      <c r="D70" s="53"/>
      <c r="E70" s="53"/>
      <c r="F70" s="53"/>
      <c r="G70" s="55"/>
    </row>
    <row r="71" spans="1:7" ht="15" customHeight="1" x14ac:dyDescent="0.25">
      <c r="A71" s="54">
        <v>46084</v>
      </c>
      <c r="B71" s="62" t="s">
        <v>248</v>
      </c>
      <c r="C71" s="62"/>
      <c r="D71" s="62" t="s">
        <v>249</v>
      </c>
      <c r="E71" s="62"/>
      <c r="F71" s="62" t="s">
        <v>250</v>
      </c>
      <c r="G71" s="63"/>
    </row>
    <row r="72" spans="1:7" ht="15" customHeight="1" x14ac:dyDescent="0.25">
      <c r="A72" s="54">
        <v>46084</v>
      </c>
      <c r="B72" s="53" t="s">
        <v>251</v>
      </c>
      <c r="C72" s="53"/>
      <c r="D72" s="53"/>
      <c r="E72" s="53"/>
      <c r="F72" s="53"/>
      <c r="G72" s="55"/>
    </row>
    <row r="73" spans="1:7" ht="15" customHeight="1" x14ac:dyDescent="0.25">
      <c r="A73" s="54">
        <v>46084</v>
      </c>
      <c r="B73" s="53" t="s">
        <v>252</v>
      </c>
      <c r="C73" s="53"/>
      <c r="D73" s="53"/>
      <c r="E73" s="53"/>
      <c r="F73" s="53"/>
      <c r="G73" s="55"/>
    </row>
    <row r="74" spans="1:7" ht="15" customHeight="1" x14ac:dyDescent="0.25">
      <c r="A74" s="54">
        <v>46084</v>
      </c>
      <c r="B74" s="53" t="s">
        <v>253</v>
      </c>
      <c r="C74" s="53"/>
      <c r="D74" s="53" t="s">
        <v>254</v>
      </c>
      <c r="E74" s="53"/>
      <c r="F74" s="53"/>
      <c r="G74" s="55"/>
    </row>
    <row r="75" spans="1:7" ht="15.75" customHeight="1" x14ac:dyDescent="0.25">
      <c r="A75" s="54">
        <v>46084</v>
      </c>
      <c r="B75" s="53"/>
      <c r="C75" s="53"/>
      <c r="D75" s="53" t="s">
        <v>255</v>
      </c>
      <c r="E75" s="53"/>
      <c r="F75" s="53"/>
      <c r="G75" s="55"/>
    </row>
    <row r="76" spans="1:7" ht="15" customHeight="1" x14ac:dyDescent="0.25">
      <c r="A76" s="61">
        <v>46085</v>
      </c>
      <c r="B76" s="62" t="s">
        <v>237</v>
      </c>
      <c r="C76" s="62"/>
      <c r="D76" s="62"/>
      <c r="E76" s="62"/>
      <c r="F76" s="62"/>
      <c r="G76" s="63"/>
    </row>
    <row r="77" spans="1:7" ht="15" customHeight="1" x14ac:dyDescent="0.25">
      <c r="A77" s="54">
        <v>46085</v>
      </c>
      <c r="B77" s="53" t="s">
        <v>236</v>
      </c>
      <c r="C77" s="53"/>
      <c r="D77" s="53"/>
      <c r="E77" s="53"/>
      <c r="F77" s="53"/>
      <c r="G77" s="55"/>
    </row>
    <row r="78" spans="1:7" ht="15" customHeight="1" x14ac:dyDescent="0.25">
      <c r="A78" s="54">
        <v>46085</v>
      </c>
      <c r="B78" s="53" t="s">
        <v>237</v>
      </c>
      <c r="C78" s="53"/>
      <c r="D78" s="53"/>
      <c r="E78" s="53"/>
      <c r="F78" s="53"/>
      <c r="G78" s="55"/>
    </row>
    <row r="79" spans="1:7" ht="15.75" customHeight="1" x14ac:dyDescent="0.25">
      <c r="A79" s="54">
        <v>46085</v>
      </c>
      <c r="B79" s="53" t="s">
        <v>218</v>
      </c>
      <c r="C79" s="53"/>
      <c r="D79" s="53"/>
      <c r="E79" s="53"/>
      <c r="F79" s="53"/>
      <c r="G79" s="55"/>
    </row>
    <row r="80" spans="1:7" ht="15" customHeight="1" x14ac:dyDescent="0.25">
      <c r="A80" s="61">
        <v>46086</v>
      </c>
      <c r="B80" s="62" t="s">
        <v>233</v>
      </c>
      <c r="C80" s="62" t="s">
        <v>207</v>
      </c>
      <c r="D80" s="62"/>
      <c r="E80" s="62"/>
      <c r="F80" s="62"/>
      <c r="G80" s="63" t="s">
        <v>256</v>
      </c>
    </row>
    <row r="81" spans="1:7" ht="15" customHeight="1" x14ac:dyDescent="0.25">
      <c r="A81" s="54">
        <v>46086</v>
      </c>
      <c r="B81" s="53" t="s">
        <v>233</v>
      </c>
      <c r="C81" s="53" t="s">
        <v>245</v>
      </c>
      <c r="D81" s="53"/>
      <c r="E81" s="53"/>
      <c r="F81" s="53"/>
      <c r="G81" s="55" t="s">
        <v>257</v>
      </c>
    </row>
    <row r="82" spans="1:7" ht="15" customHeight="1" x14ac:dyDescent="0.25">
      <c r="A82" s="54">
        <v>46086</v>
      </c>
      <c r="B82" s="53" t="s">
        <v>217</v>
      </c>
      <c r="C82" s="53"/>
      <c r="D82" s="53"/>
      <c r="E82" s="53"/>
      <c r="F82" s="53"/>
      <c r="G82" s="55"/>
    </row>
    <row r="83" spans="1:7" ht="15" customHeight="1" x14ac:dyDescent="0.25">
      <c r="A83" s="54">
        <v>46086</v>
      </c>
      <c r="B83" s="53" t="s">
        <v>217</v>
      </c>
      <c r="C83" s="53"/>
      <c r="D83" s="53"/>
      <c r="E83" s="53"/>
      <c r="F83" s="53"/>
      <c r="G83" s="55"/>
    </row>
    <row r="84" spans="1:7" ht="15.75" customHeight="1" x14ac:dyDescent="0.25">
      <c r="A84" s="54">
        <v>46086</v>
      </c>
      <c r="B84" s="53" t="s">
        <v>218</v>
      </c>
      <c r="C84" s="53"/>
      <c r="D84" s="53"/>
      <c r="E84" s="53"/>
      <c r="F84" s="53"/>
      <c r="G84" s="55"/>
    </row>
    <row r="85" spans="1:7" ht="15" customHeight="1" x14ac:dyDescent="0.25">
      <c r="A85" s="61">
        <v>46087</v>
      </c>
      <c r="B85" s="62" t="s">
        <v>233</v>
      </c>
      <c r="C85" s="62" t="s">
        <v>258</v>
      </c>
      <c r="D85" s="62"/>
      <c r="E85" s="62"/>
      <c r="F85" s="62"/>
      <c r="G85" s="63"/>
    </row>
    <row r="86" spans="1:7" ht="15.75" customHeight="1" x14ac:dyDescent="0.25">
      <c r="A86" s="65">
        <v>46087</v>
      </c>
      <c r="B86" s="53"/>
      <c r="C86" s="64" t="s">
        <v>259</v>
      </c>
      <c r="D86" s="53"/>
      <c r="E86" s="53"/>
      <c r="F86" s="53"/>
      <c r="G86" s="66"/>
    </row>
    <row r="87" spans="1:7" ht="15" customHeight="1" x14ac:dyDescent="0.25">
      <c r="A87" s="54">
        <v>46090</v>
      </c>
      <c r="B87" s="53" t="s">
        <v>237</v>
      </c>
      <c r="C87" s="53" t="s">
        <v>230</v>
      </c>
      <c r="D87" s="53"/>
      <c r="E87" s="53" t="s">
        <v>226</v>
      </c>
      <c r="F87" s="53" t="s">
        <v>238</v>
      </c>
      <c r="G87" s="55"/>
    </row>
    <row r="88" spans="1:7" ht="15" customHeight="1" x14ac:dyDescent="0.25">
      <c r="A88" s="54">
        <v>46090</v>
      </c>
      <c r="B88" s="53" t="s">
        <v>236</v>
      </c>
      <c r="C88" s="53"/>
      <c r="D88" s="53"/>
      <c r="E88" s="53"/>
      <c r="F88" s="53" t="s">
        <v>260</v>
      </c>
      <c r="G88" s="55"/>
    </row>
    <row r="89" spans="1:7" ht="15.75" customHeight="1" x14ac:dyDescent="0.25">
      <c r="A89" s="65">
        <v>46090</v>
      </c>
      <c r="B89" s="64" t="s">
        <v>239</v>
      </c>
      <c r="C89" s="53"/>
      <c r="D89" s="53"/>
      <c r="E89" s="53"/>
      <c r="F89" s="53"/>
      <c r="G89" s="66"/>
    </row>
    <row r="90" spans="1:7" ht="15" customHeight="1" x14ac:dyDescent="0.25">
      <c r="A90" s="54">
        <v>46091</v>
      </c>
      <c r="B90" s="53" t="s">
        <v>237</v>
      </c>
      <c r="C90" s="53"/>
      <c r="D90" s="53" t="s">
        <v>261</v>
      </c>
      <c r="E90" s="53"/>
      <c r="F90" s="53"/>
      <c r="G90" s="55"/>
    </row>
    <row r="91" spans="1:7" ht="15.75" customHeight="1" x14ac:dyDescent="0.25">
      <c r="A91" s="54">
        <v>46091</v>
      </c>
      <c r="B91" s="53"/>
      <c r="C91" s="53"/>
      <c r="D91" s="53" t="s">
        <v>262</v>
      </c>
      <c r="E91" s="53"/>
      <c r="F91" s="53"/>
      <c r="G91" s="66"/>
    </row>
    <row r="92" spans="1:7" ht="15" customHeight="1" x14ac:dyDescent="0.25">
      <c r="A92" s="61">
        <v>46092</v>
      </c>
      <c r="B92" s="62"/>
      <c r="C92" s="62"/>
      <c r="D92" s="62" t="s">
        <v>221</v>
      </c>
      <c r="E92" s="62"/>
      <c r="F92" s="62" t="s">
        <v>215</v>
      </c>
      <c r="G92" s="62" t="s">
        <v>120</v>
      </c>
    </row>
    <row r="93" spans="1:7" ht="15.75" customHeight="1" x14ac:dyDescent="0.25">
      <c r="A93" s="65">
        <v>46092</v>
      </c>
      <c r="B93" s="64"/>
      <c r="C93" s="64"/>
      <c r="D93" s="64" t="s">
        <v>225</v>
      </c>
      <c r="E93" s="64"/>
      <c r="F93" s="64"/>
      <c r="G93" s="64" t="s">
        <v>216</v>
      </c>
    </row>
    <row r="94" spans="1:7" ht="15" customHeight="1" x14ac:dyDescent="0.25">
      <c r="A94" s="54">
        <v>46093</v>
      </c>
      <c r="B94" s="53" t="s">
        <v>237</v>
      </c>
      <c r="C94" s="53" t="s">
        <v>263</v>
      </c>
      <c r="D94" s="53"/>
      <c r="E94" s="53"/>
      <c r="F94" s="53"/>
      <c r="G94" s="53" t="s">
        <v>264</v>
      </c>
    </row>
    <row r="95" spans="1:7" ht="15" customHeight="1" x14ac:dyDescent="0.25">
      <c r="A95" s="54">
        <v>46093</v>
      </c>
      <c r="B95" s="53" t="s">
        <v>237</v>
      </c>
      <c r="C95" s="53" t="s">
        <v>230</v>
      </c>
      <c r="D95" s="53"/>
      <c r="E95" s="53"/>
      <c r="F95" s="53"/>
      <c r="G95" s="53"/>
    </row>
    <row r="96" spans="1:7" ht="15" customHeight="1" x14ac:dyDescent="0.25">
      <c r="A96" s="54">
        <v>46093</v>
      </c>
      <c r="B96" s="53" t="s">
        <v>237</v>
      </c>
      <c r="C96" s="53" t="s">
        <v>265</v>
      </c>
      <c r="D96" s="53"/>
      <c r="E96" s="53"/>
      <c r="F96" s="53"/>
      <c r="G96" s="53"/>
    </row>
    <row r="97" spans="1:7" ht="15" customHeight="1" x14ac:dyDescent="0.25">
      <c r="A97" s="54">
        <v>46093</v>
      </c>
      <c r="B97" s="53" t="s">
        <v>220</v>
      </c>
      <c r="C97" s="53"/>
      <c r="D97" s="53"/>
      <c r="E97" s="53"/>
      <c r="F97" s="53"/>
      <c r="G97" s="53"/>
    </row>
    <row r="98" spans="1:7" ht="15" customHeight="1" x14ac:dyDescent="0.25">
      <c r="A98" s="54">
        <v>46093</v>
      </c>
      <c r="B98" s="53" t="s">
        <v>220</v>
      </c>
      <c r="C98" s="53"/>
      <c r="D98" s="53"/>
      <c r="E98" s="53"/>
      <c r="F98" s="53"/>
      <c r="G98" s="53"/>
    </row>
    <row r="99" spans="1:7" ht="15.75" customHeight="1" x14ac:dyDescent="0.25">
      <c r="A99" s="54">
        <v>46093</v>
      </c>
      <c r="B99" s="53" t="s">
        <v>239</v>
      </c>
      <c r="C99" s="53"/>
      <c r="D99" s="53"/>
      <c r="E99" s="53"/>
      <c r="F99" s="53"/>
      <c r="G99" s="53"/>
    </row>
    <row r="100" spans="1:7" ht="15" customHeight="1" x14ac:dyDescent="0.25">
      <c r="A100" s="61">
        <v>46094</v>
      </c>
      <c r="B100" s="62" t="s">
        <v>220</v>
      </c>
      <c r="C100" s="62" t="s">
        <v>263</v>
      </c>
      <c r="D100" s="62"/>
      <c r="E100" s="62"/>
      <c r="F100" s="62" t="s">
        <v>266</v>
      </c>
      <c r="G100" s="62" t="s">
        <v>120</v>
      </c>
    </row>
    <row r="101" spans="1:7" ht="15" customHeight="1" x14ac:dyDescent="0.25">
      <c r="A101" s="54">
        <v>46094</v>
      </c>
      <c r="B101" s="53" t="s">
        <v>237</v>
      </c>
      <c r="C101" s="53" t="s">
        <v>212</v>
      </c>
      <c r="D101" s="53"/>
      <c r="E101" s="53"/>
      <c r="F101" s="53" t="s">
        <v>267</v>
      </c>
      <c r="G101" s="53"/>
    </row>
    <row r="102" spans="1:7" ht="15" customHeight="1" x14ac:dyDescent="0.25">
      <c r="A102" s="54">
        <v>46094</v>
      </c>
      <c r="B102" s="53" t="s">
        <v>237</v>
      </c>
      <c r="C102" s="53"/>
      <c r="D102" s="53"/>
      <c r="E102" s="53"/>
      <c r="F102" s="53"/>
      <c r="G102" s="53"/>
    </row>
    <row r="103" spans="1:7" ht="15" customHeight="1" x14ac:dyDescent="0.25">
      <c r="A103" s="54">
        <v>46094</v>
      </c>
      <c r="B103" s="53" t="s">
        <v>239</v>
      </c>
      <c r="C103" s="53"/>
      <c r="D103" s="53"/>
      <c r="E103" s="53"/>
      <c r="F103" s="53"/>
      <c r="G103" s="53"/>
    </row>
    <row r="104" spans="1:7" ht="15.75" customHeight="1" x14ac:dyDescent="0.25">
      <c r="A104" s="65">
        <v>46094</v>
      </c>
      <c r="B104" s="64" t="s">
        <v>268</v>
      </c>
      <c r="C104" s="64"/>
      <c r="D104" s="64"/>
      <c r="E104" s="64"/>
      <c r="F104" s="64"/>
      <c r="G104" s="64"/>
    </row>
    <row r="105" spans="1:7" ht="15" customHeight="1" x14ac:dyDescent="0.25">
      <c r="A105" s="54">
        <v>46097</v>
      </c>
      <c r="B105" s="53" t="s">
        <v>268</v>
      </c>
      <c r="C105" s="53" t="s">
        <v>230</v>
      </c>
      <c r="D105" s="53"/>
      <c r="E105" s="53"/>
      <c r="F105" s="53" t="s">
        <v>215</v>
      </c>
      <c r="G105" s="53" t="s">
        <v>224</v>
      </c>
    </row>
    <row r="106" spans="1:7" ht="15" customHeight="1" x14ac:dyDescent="0.25">
      <c r="A106" s="54">
        <v>46097</v>
      </c>
      <c r="B106" s="53" t="s">
        <v>239</v>
      </c>
      <c r="C106" s="53" t="s">
        <v>245</v>
      </c>
      <c r="D106" s="53"/>
      <c r="E106" s="53"/>
      <c r="F106" s="53"/>
      <c r="G106" s="53"/>
    </row>
    <row r="107" spans="1:7" ht="15.75" customHeight="1" x14ac:dyDescent="0.25">
      <c r="A107" s="54">
        <v>46097</v>
      </c>
      <c r="B107" s="53"/>
      <c r="C107" s="64" t="s">
        <v>265</v>
      </c>
      <c r="D107" s="53"/>
      <c r="E107" s="53"/>
      <c r="F107" s="53"/>
      <c r="G107" s="53"/>
    </row>
    <row r="108" spans="1:7" ht="15" customHeight="1" x14ac:dyDescent="0.25">
      <c r="A108" s="61">
        <v>46098</v>
      </c>
      <c r="B108" s="62" t="s">
        <v>103</v>
      </c>
      <c r="C108" s="53" t="s">
        <v>258</v>
      </c>
      <c r="D108" s="62"/>
      <c r="E108" s="62"/>
      <c r="F108" s="62"/>
      <c r="G108" s="62" t="s">
        <v>120</v>
      </c>
    </row>
    <row r="109" spans="1:7" ht="15" customHeight="1" x14ac:dyDescent="0.25">
      <c r="A109" s="54">
        <v>46098</v>
      </c>
      <c r="B109" s="53" t="s">
        <v>103</v>
      </c>
      <c r="C109" s="53" t="s">
        <v>265</v>
      </c>
      <c r="D109" s="53"/>
      <c r="E109" s="53"/>
      <c r="F109" s="53" t="s">
        <v>215</v>
      </c>
      <c r="G109" s="53" t="s">
        <v>224</v>
      </c>
    </row>
    <row r="110" spans="1:7" ht="15" customHeight="1" x14ac:dyDescent="0.25">
      <c r="A110" s="54">
        <v>46098</v>
      </c>
      <c r="B110" s="53" t="s">
        <v>239</v>
      </c>
      <c r="C110" s="53"/>
      <c r="D110" s="53"/>
      <c r="E110" s="53"/>
      <c r="F110" s="53"/>
      <c r="G110" s="53"/>
    </row>
    <row r="111" spans="1:7" ht="15" customHeight="1" x14ac:dyDescent="0.25">
      <c r="A111" s="54">
        <v>46098</v>
      </c>
      <c r="B111" s="53" t="s">
        <v>237</v>
      </c>
      <c r="C111" s="53"/>
      <c r="D111" s="53"/>
      <c r="E111" s="53"/>
      <c r="F111" s="53"/>
      <c r="G111" s="53"/>
    </row>
    <row r="112" spans="1:7" ht="15" customHeight="1" x14ac:dyDescent="0.25">
      <c r="A112" s="54">
        <v>46098</v>
      </c>
      <c r="B112" s="53" t="s">
        <v>237</v>
      </c>
      <c r="C112" s="53"/>
      <c r="D112" s="53"/>
      <c r="E112" s="53"/>
      <c r="F112" s="53"/>
      <c r="G112" s="53"/>
    </row>
    <row r="113" spans="1:7" ht="15" customHeight="1" x14ac:dyDescent="0.25">
      <c r="A113" s="54">
        <v>46098</v>
      </c>
      <c r="B113" s="53" t="s">
        <v>237</v>
      </c>
      <c r="C113" s="53"/>
      <c r="D113" s="53"/>
      <c r="E113" s="53"/>
      <c r="F113" s="53"/>
      <c r="G113" s="53"/>
    </row>
    <row r="114" spans="1:7" ht="15" customHeight="1" x14ac:dyDescent="0.25">
      <c r="A114" s="54">
        <v>46098</v>
      </c>
      <c r="B114" s="53" t="s">
        <v>237</v>
      </c>
      <c r="C114" s="53"/>
      <c r="D114" s="53"/>
      <c r="E114" s="53"/>
      <c r="F114" s="53"/>
      <c r="G114" s="53"/>
    </row>
    <row r="115" spans="1:7" ht="15.75" customHeight="1" x14ac:dyDescent="0.25">
      <c r="A115" s="54">
        <v>46098</v>
      </c>
      <c r="B115" s="53" t="s">
        <v>233</v>
      </c>
      <c r="C115" s="53"/>
      <c r="D115" s="64"/>
      <c r="E115" s="53"/>
      <c r="F115" s="53"/>
      <c r="G115" s="53"/>
    </row>
    <row r="116" spans="1:7" ht="15" customHeight="1" x14ac:dyDescent="0.25">
      <c r="A116" s="61">
        <v>46099</v>
      </c>
      <c r="B116" s="62" t="s">
        <v>236</v>
      </c>
      <c r="C116" s="62" t="s">
        <v>258</v>
      </c>
      <c r="D116" s="53" t="s">
        <v>222</v>
      </c>
      <c r="E116" s="53"/>
      <c r="F116" s="53"/>
      <c r="G116" s="53"/>
    </row>
    <row r="117" spans="1:7" ht="15" customHeight="1" x14ac:dyDescent="0.25">
      <c r="A117" s="54">
        <v>46099</v>
      </c>
      <c r="B117" s="53" t="s">
        <v>237</v>
      </c>
      <c r="C117" s="53"/>
      <c r="D117" s="53" t="s">
        <v>222</v>
      </c>
      <c r="E117" s="53"/>
      <c r="F117" s="53"/>
      <c r="G117" s="53"/>
    </row>
    <row r="118" spans="1:7" ht="15.75" customHeight="1" x14ac:dyDescent="0.25">
      <c r="A118" s="65">
        <v>46099</v>
      </c>
      <c r="B118" s="64" t="s">
        <v>237</v>
      </c>
      <c r="C118" s="53"/>
      <c r="D118" s="53"/>
      <c r="E118" s="53"/>
      <c r="F118" s="53"/>
      <c r="G118" s="53"/>
    </row>
    <row r="119" spans="1:7" ht="15.75" customHeight="1" x14ac:dyDescent="0.25">
      <c r="A119" s="54">
        <v>46100</v>
      </c>
      <c r="B119" s="53" t="s">
        <v>269</v>
      </c>
      <c r="C119" s="53"/>
      <c r="D119" s="53"/>
      <c r="E119" s="53"/>
      <c r="F119" s="53"/>
      <c r="G119" s="53" t="s">
        <v>235</v>
      </c>
    </row>
    <row r="120" spans="1:7" ht="15" customHeight="1" x14ac:dyDescent="0.25">
      <c r="A120" s="61">
        <v>46101</v>
      </c>
      <c r="B120" s="53"/>
      <c r="C120" s="62" t="s">
        <v>245</v>
      </c>
      <c r="D120" s="53"/>
      <c r="E120" s="53"/>
      <c r="F120" s="53"/>
      <c r="G120" s="53"/>
    </row>
    <row r="121" spans="1:7" ht="15.75" customHeight="1" x14ac:dyDescent="0.25">
      <c r="A121" s="65">
        <v>46101</v>
      </c>
      <c r="B121" s="53"/>
      <c r="C121" s="64" t="s">
        <v>245</v>
      </c>
      <c r="D121" s="53"/>
      <c r="E121" s="53"/>
      <c r="F121" s="53"/>
      <c r="G121" s="53"/>
    </row>
    <row r="122" spans="1:7" ht="15" customHeight="1" x14ac:dyDescent="0.25">
      <c r="A122" s="54">
        <v>46104</v>
      </c>
      <c r="B122" s="53" t="s">
        <v>103</v>
      </c>
      <c r="C122" s="53" t="s">
        <v>263</v>
      </c>
      <c r="D122" s="53"/>
      <c r="E122" s="53"/>
      <c r="F122" s="53" t="s">
        <v>267</v>
      </c>
      <c r="G122" s="53"/>
    </row>
    <row r="123" spans="1:7" ht="15.75" customHeight="1" x14ac:dyDescent="0.25">
      <c r="A123" s="54">
        <v>46104</v>
      </c>
      <c r="B123" s="53"/>
      <c r="C123" s="53" t="s">
        <v>230</v>
      </c>
      <c r="D123" s="53"/>
      <c r="E123" s="53"/>
      <c r="F123" s="53"/>
      <c r="G123" s="53"/>
    </row>
    <row r="124" spans="1:7" ht="15" customHeight="1" x14ac:dyDescent="0.25">
      <c r="A124" s="61">
        <v>46105</v>
      </c>
      <c r="B124" s="62" t="s">
        <v>218</v>
      </c>
      <c r="C124" s="62" t="s">
        <v>263</v>
      </c>
      <c r="D124" s="53"/>
      <c r="E124" s="53"/>
      <c r="F124" s="62" t="s">
        <v>270</v>
      </c>
      <c r="G124" s="62" t="s">
        <v>271</v>
      </c>
    </row>
    <row r="125" spans="1:7" ht="15" customHeight="1" x14ac:dyDescent="0.25">
      <c r="A125" s="54">
        <v>46105</v>
      </c>
      <c r="B125" s="53" t="s">
        <v>237</v>
      </c>
      <c r="C125" s="53" t="s">
        <v>207</v>
      </c>
      <c r="D125" s="53"/>
      <c r="E125" s="53"/>
      <c r="F125" s="53"/>
      <c r="G125" s="53" t="s">
        <v>224</v>
      </c>
    </row>
    <row r="126" spans="1:7" ht="15" customHeight="1" x14ac:dyDescent="0.25">
      <c r="A126" s="54">
        <v>46105</v>
      </c>
      <c r="B126" s="53" t="s">
        <v>239</v>
      </c>
      <c r="C126" s="53"/>
      <c r="D126" s="53"/>
      <c r="E126" s="53"/>
      <c r="F126" s="53"/>
      <c r="G126" s="53" t="s">
        <v>264</v>
      </c>
    </row>
    <row r="127" spans="1:7" ht="15.75" customHeight="1" x14ac:dyDescent="0.25">
      <c r="A127" s="54">
        <v>46105</v>
      </c>
      <c r="B127" s="53" t="s">
        <v>239</v>
      </c>
      <c r="C127" s="53"/>
      <c r="D127" s="53"/>
      <c r="E127" s="53"/>
      <c r="F127" s="53"/>
      <c r="G127" s="53"/>
    </row>
    <row r="128" spans="1:7" ht="15.75" customHeight="1" x14ac:dyDescent="0.25">
      <c r="A128" s="61">
        <v>46106</v>
      </c>
      <c r="B128" s="67" t="s">
        <v>220</v>
      </c>
      <c r="C128" s="53"/>
      <c r="D128" s="53"/>
      <c r="E128" s="53"/>
      <c r="F128" s="53"/>
      <c r="G128" s="53"/>
    </row>
    <row r="129" spans="1:7" ht="15" customHeight="1" x14ac:dyDescent="0.25">
      <c r="A129" s="61">
        <v>46107</v>
      </c>
      <c r="B129" s="53" t="s">
        <v>220</v>
      </c>
      <c r="C129" s="53"/>
      <c r="D129" s="53"/>
      <c r="E129" s="53"/>
      <c r="F129" s="53"/>
      <c r="G129" s="53"/>
    </row>
    <row r="130" spans="1:7" ht="15" customHeight="1" x14ac:dyDescent="0.25">
      <c r="A130" s="54">
        <v>46107</v>
      </c>
      <c r="B130" s="53" t="s">
        <v>239</v>
      </c>
      <c r="C130" s="53" t="s">
        <v>258</v>
      </c>
      <c r="D130" s="53"/>
      <c r="E130" s="53"/>
      <c r="F130" s="53" t="s">
        <v>215</v>
      </c>
      <c r="G130" s="53"/>
    </row>
    <row r="131" spans="1:7" ht="15" customHeight="1" x14ac:dyDescent="0.25">
      <c r="A131" s="54">
        <v>46107</v>
      </c>
      <c r="B131" s="53" t="s">
        <v>239</v>
      </c>
      <c r="C131" s="53" t="s">
        <v>232</v>
      </c>
      <c r="D131" s="53"/>
      <c r="E131" s="53"/>
      <c r="F131" s="53"/>
      <c r="G131" s="53"/>
    </row>
    <row r="132" spans="1:7" ht="15" customHeight="1" x14ac:dyDescent="0.25">
      <c r="A132" s="54">
        <v>46107</v>
      </c>
      <c r="B132" s="53" t="s">
        <v>237</v>
      </c>
      <c r="C132" s="53"/>
      <c r="D132" s="53"/>
      <c r="E132" s="53"/>
      <c r="F132" s="53"/>
      <c r="G132" s="53"/>
    </row>
    <row r="133" spans="1:7" ht="15" customHeight="1" x14ac:dyDescent="0.25">
      <c r="A133" s="54">
        <v>46107</v>
      </c>
      <c r="B133" s="53" t="s">
        <v>236</v>
      </c>
      <c r="C133" s="53"/>
      <c r="D133" s="53"/>
      <c r="E133" s="53"/>
      <c r="F133" s="53"/>
      <c r="G133" s="53"/>
    </row>
    <row r="134" spans="1:7" ht="15" customHeight="1" x14ac:dyDescent="0.25">
      <c r="A134" s="54">
        <v>46107</v>
      </c>
      <c r="B134" s="53" t="s">
        <v>236</v>
      </c>
      <c r="C134" s="53"/>
      <c r="D134" s="53"/>
      <c r="E134" s="53"/>
      <c r="F134" s="53"/>
      <c r="G134" s="53"/>
    </row>
    <row r="135" spans="1:7" ht="15" customHeight="1" x14ac:dyDescent="0.25">
      <c r="A135" s="54">
        <v>46107</v>
      </c>
      <c r="B135" s="53" t="s">
        <v>125</v>
      </c>
      <c r="C135" s="53"/>
      <c r="D135" s="53"/>
      <c r="E135" s="53"/>
      <c r="F135" s="53"/>
      <c r="G135" s="53"/>
    </row>
    <row r="136" spans="1:7" ht="15" customHeight="1" x14ac:dyDescent="0.25">
      <c r="A136" s="54">
        <v>46107</v>
      </c>
      <c r="B136" s="53" t="s">
        <v>125</v>
      </c>
      <c r="C136" s="53"/>
      <c r="D136" s="53"/>
      <c r="E136" s="53"/>
      <c r="F136" s="53"/>
      <c r="G136" s="53"/>
    </row>
    <row r="137" spans="1:7" ht="15" customHeight="1" x14ac:dyDescent="0.25">
      <c r="A137" s="54">
        <v>46107</v>
      </c>
      <c r="B137" s="53" t="s">
        <v>218</v>
      </c>
      <c r="C137" s="53"/>
      <c r="D137" s="53"/>
      <c r="E137" s="53"/>
      <c r="F137" s="53"/>
      <c r="G137" s="53"/>
    </row>
    <row r="138" spans="1:7" ht="15.75" customHeight="1" x14ac:dyDescent="0.25">
      <c r="A138" s="65">
        <v>46107</v>
      </c>
      <c r="B138" s="64" t="s">
        <v>237</v>
      </c>
      <c r="C138" s="53"/>
      <c r="D138" s="53"/>
      <c r="E138" s="53"/>
      <c r="F138" s="53"/>
      <c r="G138" s="53"/>
    </row>
    <row r="139" spans="1:7" ht="15" customHeight="1" x14ac:dyDescent="0.25">
      <c r="A139" s="54">
        <v>46108</v>
      </c>
      <c r="B139" s="53" t="s">
        <v>220</v>
      </c>
      <c r="C139" s="53"/>
      <c r="D139" s="53"/>
      <c r="E139" s="53"/>
      <c r="F139" s="53"/>
      <c r="G139" s="53"/>
    </row>
    <row r="140" spans="1:7" ht="15" customHeight="1" x14ac:dyDescent="0.25">
      <c r="A140" s="54">
        <v>46108</v>
      </c>
      <c r="B140" s="53" t="s">
        <v>236</v>
      </c>
      <c r="C140" s="53"/>
      <c r="D140" s="53"/>
      <c r="E140" s="53"/>
      <c r="F140" s="53"/>
      <c r="G140" s="53" t="s">
        <v>256</v>
      </c>
    </row>
    <row r="141" spans="1:7" ht="15.75" customHeight="1" x14ac:dyDescent="0.25">
      <c r="A141" s="65">
        <v>46108</v>
      </c>
      <c r="B141" s="64" t="s">
        <v>220</v>
      </c>
      <c r="C141" s="64" t="s">
        <v>212</v>
      </c>
      <c r="D141" s="53"/>
      <c r="E141" s="53"/>
      <c r="F141" s="53"/>
      <c r="G141" s="53"/>
    </row>
    <row r="142" spans="1:7" ht="15" customHeight="1" x14ac:dyDescent="0.25">
      <c r="A142" s="54">
        <v>46111</v>
      </c>
      <c r="B142" s="53" t="s">
        <v>125</v>
      </c>
      <c r="C142" s="53"/>
      <c r="D142" s="53"/>
      <c r="E142" s="53"/>
      <c r="F142" s="53" t="s">
        <v>215</v>
      </c>
      <c r="G142" s="53"/>
    </row>
    <row r="143" spans="1:7" ht="15" customHeight="1" x14ac:dyDescent="0.25">
      <c r="A143" s="54">
        <v>46111</v>
      </c>
      <c r="B143" s="53" t="s">
        <v>239</v>
      </c>
      <c r="C143" s="53" t="s">
        <v>265</v>
      </c>
      <c r="D143" s="53"/>
      <c r="E143" s="53"/>
      <c r="F143" s="53" t="s">
        <v>215</v>
      </c>
      <c r="G143" s="53"/>
    </row>
    <row r="144" spans="1:7" ht="15" customHeight="1" x14ac:dyDescent="0.25">
      <c r="A144" s="54">
        <v>46111</v>
      </c>
      <c r="B144" s="53" t="s">
        <v>236</v>
      </c>
      <c r="C144" s="53" t="s">
        <v>265</v>
      </c>
      <c r="D144" s="53"/>
      <c r="E144" s="53"/>
      <c r="F144" s="53" t="s">
        <v>270</v>
      </c>
      <c r="G144" s="53" t="s">
        <v>224</v>
      </c>
    </row>
    <row r="145" spans="1:7" ht="15" customHeight="1" x14ac:dyDescent="0.25">
      <c r="A145" s="54">
        <v>46111</v>
      </c>
      <c r="B145" s="53" t="s">
        <v>243</v>
      </c>
      <c r="C145" s="53"/>
      <c r="D145" s="53"/>
      <c r="E145" s="53"/>
      <c r="F145" s="53" t="s">
        <v>243</v>
      </c>
      <c r="G145" s="53" t="s">
        <v>224</v>
      </c>
    </row>
    <row r="146" spans="1:7" ht="15" customHeight="1" x14ac:dyDescent="0.25">
      <c r="A146" s="54">
        <v>46111</v>
      </c>
      <c r="B146" s="53"/>
      <c r="C146" s="53"/>
      <c r="D146" s="53"/>
      <c r="E146" s="53"/>
      <c r="F146" s="53" t="s">
        <v>260</v>
      </c>
      <c r="G146" s="53" t="s">
        <v>271</v>
      </c>
    </row>
    <row r="147" spans="1:7" ht="15.75" customHeight="1" x14ac:dyDescent="0.25">
      <c r="A147" s="53"/>
      <c r="B147" s="53"/>
      <c r="C147" s="53"/>
      <c r="D147" s="53"/>
      <c r="E147" s="53"/>
      <c r="F147" s="64" t="s">
        <v>243</v>
      </c>
      <c r="G147" s="53"/>
    </row>
    <row r="148" spans="1:7" ht="15" customHeight="1" x14ac:dyDescent="0.25">
      <c r="A148" s="54">
        <v>46112</v>
      </c>
      <c r="B148" s="53" t="s">
        <v>233</v>
      </c>
      <c r="C148" s="53" t="s">
        <v>245</v>
      </c>
      <c r="D148" s="53"/>
      <c r="E148" s="53"/>
      <c r="F148" s="53" t="s">
        <v>272</v>
      </c>
      <c r="G148" s="53"/>
    </row>
    <row r="149" spans="1:7" ht="15" customHeight="1" x14ac:dyDescent="0.25">
      <c r="A149" s="54">
        <v>46112</v>
      </c>
      <c r="B149" s="53" t="s">
        <v>220</v>
      </c>
      <c r="C149" s="53" t="s">
        <v>212</v>
      </c>
      <c r="D149" s="53"/>
      <c r="E149" s="53"/>
      <c r="F149" s="53" t="s">
        <v>260</v>
      </c>
      <c r="G149" s="53"/>
    </row>
    <row r="150" spans="1:7" ht="15" customHeight="1" x14ac:dyDescent="0.25">
      <c r="A150" s="54">
        <v>46112</v>
      </c>
      <c r="B150" s="53" t="s">
        <v>125</v>
      </c>
      <c r="C150" s="53" t="s">
        <v>245</v>
      </c>
      <c r="D150" s="53" t="s">
        <v>213</v>
      </c>
      <c r="E150" s="53"/>
      <c r="F150" s="53"/>
      <c r="G150" s="53"/>
    </row>
    <row r="151" spans="1:7" ht="15" customHeight="1" x14ac:dyDescent="0.25">
      <c r="A151" s="54">
        <v>46112</v>
      </c>
      <c r="B151" s="53" t="s">
        <v>218</v>
      </c>
      <c r="C151" s="53" t="s">
        <v>273</v>
      </c>
      <c r="D151" s="53" t="s">
        <v>262</v>
      </c>
      <c r="E151" s="53"/>
      <c r="F151" s="53"/>
      <c r="G151" s="53"/>
    </row>
    <row r="152" spans="1:7" ht="15.75" customHeight="1" x14ac:dyDescent="0.25">
      <c r="A152" s="65">
        <v>46112</v>
      </c>
      <c r="B152" s="64" t="s">
        <v>103</v>
      </c>
      <c r="C152" s="53"/>
      <c r="D152" s="64" t="s">
        <v>262</v>
      </c>
      <c r="E152" s="53"/>
      <c r="F152" s="53"/>
      <c r="G152" s="53"/>
    </row>
    <row r="153" spans="1:7" ht="15" customHeight="1" x14ac:dyDescent="0.25">
      <c r="A153" s="54">
        <v>46113</v>
      </c>
      <c r="B153" s="53"/>
      <c r="C153" s="53" t="s">
        <v>274</v>
      </c>
      <c r="D153" s="53"/>
      <c r="E153" s="53" t="s">
        <v>214</v>
      </c>
      <c r="F153" s="53"/>
      <c r="G153" s="53"/>
    </row>
    <row r="154" spans="1:7" ht="15" customHeight="1" x14ac:dyDescent="0.25">
      <c r="A154" s="54">
        <v>46113</v>
      </c>
      <c r="B154" s="53"/>
      <c r="C154" s="53" t="s">
        <v>245</v>
      </c>
      <c r="D154" s="53"/>
      <c r="E154" s="53" t="s">
        <v>275</v>
      </c>
      <c r="F154" s="53" t="s">
        <v>260</v>
      </c>
      <c r="G154" s="53" t="s">
        <v>235</v>
      </c>
    </row>
    <row r="155" spans="1:7" ht="15" customHeight="1" x14ac:dyDescent="0.25">
      <c r="A155" s="54">
        <v>46113</v>
      </c>
      <c r="B155" s="53"/>
      <c r="C155" s="53" t="s">
        <v>274</v>
      </c>
      <c r="D155" s="53"/>
      <c r="E155" s="53"/>
      <c r="F155" s="53"/>
      <c r="G155" s="53" t="s">
        <v>224</v>
      </c>
    </row>
    <row r="156" spans="1:7" ht="15" customHeight="1" x14ac:dyDescent="0.25">
      <c r="A156" s="54">
        <v>46113</v>
      </c>
      <c r="B156" s="53"/>
      <c r="C156" s="53" t="s">
        <v>245</v>
      </c>
      <c r="D156" s="53"/>
      <c r="E156" s="53"/>
      <c r="F156" s="53"/>
      <c r="G156" s="53" t="s">
        <v>264</v>
      </c>
    </row>
    <row r="157" spans="1:7" ht="15" customHeight="1" x14ac:dyDescent="0.25">
      <c r="A157" s="54">
        <v>46113</v>
      </c>
      <c r="B157" s="53"/>
      <c r="C157" s="53" t="s">
        <v>245</v>
      </c>
      <c r="D157" s="53"/>
      <c r="E157" s="53"/>
      <c r="F157" s="53"/>
      <c r="G157" s="53" t="s">
        <v>256</v>
      </c>
    </row>
    <row r="158" spans="1:7" ht="15" customHeight="1" x14ac:dyDescent="0.25">
      <c r="A158" s="54">
        <v>46113</v>
      </c>
      <c r="B158" s="53" t="s">
        <v>220</v>
      </c>
      <c r="C158" s="53" t="s">
        <v>245</v>
      </c>
      <c r="D158" s="53"/>
      <c r="E158" s="53"/>
      <c r="F158" s="53"/>
      <c r="G158" s="53"/>
    </row>
    <row r="159" spans="1:7" ht="15" customHeight="1" x14ac:dyDescent="0.25">
      <c r="A159" s="54">
        <v>46113</v>
      </c>
      <c r="B159" s="53" t="s">
        <v>125</v>
      </c>
      <c r="C159" s="53" t="s">
        <v>207</v>
      </c>
      <c r="D159" s="53"/>
      <c r="E159" s="53"/>
      <c r="F159" s="53"/>
      <c r="G159" s="53"/>
    </row>
    <row r="160" spans="1:7" ht="15.75" customHeight="1" x14ac:dyDescent="0.25">
      <c r="A160" s="54">
        <v>46113</v>
      </c>
      <c r="B160" s="53" t="s">
        <v>218</v>
      </c>
      <c r="C160" s="53" t="s">
        <v>275</v>
      </c>
      <c r="D160" s="53"/>
      <c r="E160" s="53"/>
      <c r="F160" s="53"/>
      <c r="G160" s="53"/>
    </row>
    <row r="161" spans="1:7" ht="15" customHeight="1" x14ac:dyDescent="0.25">
      <c r="A161" s="61">
        <v>46114</v>
      </c>
      <c r="B161" s="53"/>
      <c r="C161" s="53"/>
      <c r="D161" s="53"/>
      <c r="E161" s="53"/>
      <c r="F161" s="62" t="s">
        <v>260</v>
      </c>
      <c r="G161" s="53"/>
    </row>
    <row r="162" spans="1:7" ht="15" customHeight="1" x14ac:dyDescent="0.25">
      <c r="A162" s="54">
        <v>46114</v>
      </c>
      <c r="B162" s="53" t="s">
        <v>268</v>
      </c>
      <c r="C162" s="53"/>
      <c r="D162" s="53"/>
      <c r="E162" s="53"/>
      <c r="F162" s="53" t="s">
        <v>238</v>
      </c>
      <c r="G162" s="53" t="s">
        <v>224</v>
      </c>
    </row>
    <row r="163" spans="1:7" ht="15.75" customHeight="1" x14ac:dyDescent="0.25">
      <c r="A163" s="65">
        <v>46114</v>
      </c>
      <c r="B163" s="64" t="s">
        <v>236</v>
      </c>
      <c r="C163" s="53"/>
      <c r="D163" s="53"/>
      <c r="E163" s="53"/>
      <c r="F163" s="64" t="s">
        <v>215</v>
      </c>
      <c r="G163" s="53"/>
    </row>
    <row r="164" spans="1:7" ht="15" customHeight="1" x14ac:dyDescent="0.25">
      <c r="A164" s="54">
        <v>46119</v>
      </c>
      <c r="B164" s="53" t="s">
        <v>233</v>
      </c>
      <c r="C164" s="53" t="s">
        <v>265</v>
      </c>
      <c r="D164" s="53" t="s">
        <v>269</v>
      </c>
      <c r="E164" s="53"/>
      <c r="F164" s="53" t="s">
        <v>260</v>
      </c>
      <c r="G164" s="53" t="s">
        <v>216</v>
      </c>
    </row>
    <row r="165" spans="1:7" ht="15" customHeight="1" x14ac:dyDescent="0.25">
      <c r="A165" s="54">
        <v>46119</v>
      </c>
      <c r="B165" s="53" t="s">
        <v>237</v>
      </c>
      <c r="C165" s="53" t="s">
        <v>241</v>
      </c>
      <c r="D165" s="53" t="s">
        <v>222</v>
      </c>
      <c r="E165" s="53"/>
      <c r="F165" s="53" t="s">
        <v>267</v>
      </c>
      <c r="G165" s="53"/>
    </row>
    <row r="166" spans="1:7" ht="15" customHeight="1" x14ac:dyDescent="0.25">
      <c r="A166" s="54">
        <v>46119</v>
      </c>
      <c r="B166" s="53" t="s">
        <v>239</v>
      </c>
      <c r="C166" s="53" t="s">
        <v>263</v>
      </c>
      <c r="D166" s="53"/>
      <c r="E166" s="53"/>
      <c r="F166" s="53" t="s">
        <v>260</v>
      </c>
      <c r="G166" s="53"/>
    </row>
    <row r="167" spans="1:7" ht="15" customHeight="1" x14ac:dyDescent="0.25">
      <c r="A167" s="54">
        <v>46119</v>
      </c>
      <c r="B167" s="53" t="s">
        <v>125</v>
      </c>
      <c r="C167" s="53" t="s">
        <v>232</v>
      </c>
      <c r="D167" s="53"/>
      <c r="E167" s="53"/>
      <c r="F167" s="53" t="s">
        <v>260</v>
      </c>
      <c r="G167" s="53"/>
    </row>
    <row r="168" spans="1:7" ht="15" customHeight="1" x14ac:dyDescent="0.25">
      <c r="A168" s="54">
        <v>46119</v>
      </c>
      <c r="B168" s="53" t="s">
        <v>269</v>
      </c>
      <c r="C168" s="53"/>
      <c r="D168" s="53"/>
      <c r="E168" s="53"/>
      <c r="F168" s="53"/>
      <c r="G168" s="53"/>
    </row>
    <row r="169" spans="1:7" ht="15" customHeight="1" x14ac:dyDescent="0.25">
      <c r="A169" s="54">
        <v>46119</v>
      </c>
      <c r="B169" s="53" t="s">
        <v>269</v>
      </c>
      <c r="C169" s="53"/>
      <c r="D169" s="53"/>
      <c r="E169" s="53"/>
      <c r="F169" s="53"/>
      <c r="G169" s="53"/>
    </row>
    <row r="170" spans="1:7" ht="15.75" customHeight="1" x14ac:dyDescent="0.25">
      <c r="A170" s="54">
        <v>46119</v>
      </c>
      <c r="B170" s="53" t="s">
        <v>237</v>
      </c>
      <c r="C170" s="53"/>
      <c r="D170" s="53"/>
      <c r="E170" s="53"/>
      <c r="F170" s="53"/>
      <c r="G170" s="53"/>
    </row>
    <row r="171" spans="1:7" ht="15" customHeight="1" x14ac:dyDescent="0.25">
      <c r="A171" s="61">
        <v>46120</v>
      </c>
      <c r="B171" s="62" t="s">
        <v>103</v>
      </c>
      <c r="C171" s="62" t="s">
        <v>265</v>
      </c>
      <c r="D171" s="53"/>
      <c r="E171" s="53"/>
      <c r="F171" s="53"/>
      <c r="G171" s="53"/>
    </row>
    <row r="172" spans="1:7" ht="15" customHeight="1" x14ac:dyDescent="0.25">
      <c r="A172" s="54">
        <v>46120</v>
      </c>
      <c r="B172" s="53" t="s">
        <v>125</v>
      </c>
      <c r="C172" s="53" t="s">
        <v>263</v>
      </c>
      <c r="D172" s="53" t="s">
        <v>213</v>
      </c>
      <c r="E172" s="53"/>
      <c r="F172" s="53"/>
      <c r="G172" s="53"/>
    </row>
    <row r="173" spans="1:7" ht="15.75" customHeight="1" x14ac:dyDescent="0.25">
      <c r="A173" s="65">
        <v>46120</v>
      </c>
      <c r="B173" s="64" t="s">
        <v>239</v>
      </c>
      <c r="C173" s="53"/>
      <c r="D173" s="53"/>
      <c r="E173" s="53"/>
      <c r="F173" s="53"/>
      <c r="G173" s="53"/>
    </row>
    <row r="174" spans="1:7" ht="15.75" customHeight="1" x14ac:dyDescent="0.25">
      <c r="A174" s="68">
        <v>46121</v>
      </c>
      <c r="B174" s="67" t="s">
        <v>236</v>
      </c>
      <c r="C174" s="53"/>
      <c r="D174" s="53"/>
      <c r="E174" s="53"/>
      <c r="F174" s="53"/>
      <c r="G174" s="53"/>
    </row>
    <row r="175" spans="1:7" ht="15" customHeight="1" x14ac:dyDescent="0.25">
      <c r="A175" s="54">
        <v>46122</v>
      </c>
      <c r="B175" s="53" t="s">
        <v>220</v>
      </c>
      <c r="C175" s="53"/>
      <c r="D175" s="53"/>
      <c r="E175" s="53"/>
      <c r="F175" s="53"/>
      <c r="G175" s="53"/>
    </row>
    <row r="176" spans="1:7" ht="15.75" customHeight="1" x14ac:dyDescent="0.25">
      <c r="A176" s="54">
        <v>46122</v>
      </c>
      <c r="B176" s="53"/>
      <c r="C176" s="53" t="s">
        <v>265</v>
      </c>
      <c r="D176" s="53"/>
      <c r="E176" s="53"/>
      <c r="F176" s="53"/>
      <c r="G176" s="53"/>
    </row>
    <row r="177" spans="1:7" ht="15" customHeight="1" x14ac:dyDescent="0.25">
      <c r="A177" s="61">
        <v>46125</v>
      </c>
      <c r="B177" s="62" t="s">
        <v>236</v>
      </c>
      <c r="C177" s="53"/>
      <c r="D177" s="53"/>
      <c r="E177" s="53"/>
      <c r="F177" s="53"/>
      <c r="G177" s="62" t="s">
        <v>224</v>
      </c>
    </row>
    <row r="178" spans="1:7" ht="15" customHeight="1" x14ac:dyDescent="0.25">
      <c r="A178" s="54">
        <v>46125</v>
      </c>
      <c r="B178" s="53" t="s">
        <v>239</v>
      </c>
      <c r="C178" s="53"/>
      <c r="D178" s="53"/>
      <c r="E178" s="53"/>
      <c r="F178" s="53"/>
      <c r="G178" s="53" t="s">
        <v>120</v>
      </c>
    </row>
    <row r="179" spans="1:7" ht="15.75" customHeight="1" x14ac:dyDescent="0.25">
      <c r="A179" s="54">
        <v>46125</v>
      </c>
      <c r="B179" s="53"/>
      <c r="C179" s="53"/>
      <c r="D179" s="53"/>
      <c r="E179" s="53"/>
      <c r="F179" s="53"/>
      <c r="G179" s="53" t="s">
        <v>224</v>
      </c>
    </row>
    <row r="180" spans="1:7" ht="15" customHeight="1" x14ac:dyDescent="0.25">
      <c r="A180" s="61">
        <v>46126</v>
      </c>
      <c r="B180" s="62" t="s">
        <v>239</v>
      </c>
      <c r="C180" s="53"/>
      <c r="D180" s="53"/>
      <c r="E180" s="53"/>
      <c r="F180" s="53"/>
      <c r="G180" s="53"/>
    </row>
    <row r="181" spans="1:7" ht="15" customHeight="1" x14ac:dyDescent="0.25">
      <c r="A181" s="54">
        <v>46126</v>
      </c>
      <c r="B181" s="53" t="s">
        <v>239</v>
      </c>
      <c r="C181" s="53"/>
      <c r="D181" s="53"/>
      <c r="E181" s="53"/>
      <c r="F181" s="53" t="s">
        <v>266</v>
      </c>
      <c r="G181" s="53"/>
    </row>
    <row r="182" spans="1:7" ht="15" customHeight="1" x14ac:dyDescent="0.25">
      <c r="A182" s="54">
        <v>46126</v>
      </c>
      <c r="B182" s="53" t="s">
        <v>218</v>
      </c>
      <c r="C182" s="53"/>
      <c r="D182" s="53"/>
      <c r="E182" s="53"/>
      <c r="F182" s="53"/>
      <c r="G182" s="53"/>
    </row>
    <row r="183" spans="1:7" ht="15" customHeight="1" x14ac:dyDescent="0.25">
      <c r="A183" s="54">
        <v>46126</v>
      </c>
      <c r="B183" s="53" t="s">
        <v>239</v>
      </c>
      <c r="C183" s="53"/>
      <c r="D183" s="53"/>
      <c r="E183" s="53"/>
      <c r="F183" s="53"/>
      <c r="G183" s="53"/>
    </row>
    <row r="184" spans="1:7" ht="15" customHeight="1" x14ac:dyDescent="0.25">
      <c r="A184" s="54">
        <v>46126</v>
      </c>
      <c r="B184" s="53" t="s">
        <v>237</v>
      </c>
      <c r="C184" s="53"/>
      <c r="D184" s="53"/>
      <c r="E184" s="53"/>
      <c r="F184" s="53"/>
      <c r="G184" s="53"/>
    </row>
    <row r="185" spans="1:7" ht="15.75" customHeight="1" x14ac:dyDescent="0.25">
      <c r="A185" s="65">
        <v>46126</v>
      </c>
      <c r="B185" s="64" t="s">
        <v>239</v>
      </c>
      <c r="C185" s="53"/>
      <c r="D185" s="53"/>
      <c r="E185" s="53"/>
      <c r="F185" s="53"/>
      <c r="G185" s="53"/>
    </row>
    <row r="186" spans="1:7" ht="15.75" customHeight="1" x14ac:dyDescent="0.25">
      <c r="A186" s="54">
        <v>46127</v>
      </c>
      <c r="B186" s="53"/>
      <c r="C186" s="53" t="s">
        <v>212</v>
      </c>
      <c r="D186" s="53"/>
      <c r="E186" s="53"/>
      <c r="F186" s="53"/>
      <c r="G186" s="53"/>
    </row>
    <row r="187" spans="1:7" ht="15" customHeight="1" x14ac:dyDescent="0.25">
      <c r="A187" s="61">
        <v>46128</v>
      </c>
      <c r="B187" s="62" t="s">
        <v>239</v>
      </c>
      <c r="C187" s="62" t="s">
        <v>265</v>
      </c>
      <c r="D187" s="53"/>
      <c r="E187" s="53"/>
      <c r="F187" s="53"/>
      <c r="G187" s="62" t="s">
        <v>224</v>
      </c>
    </row>
    <row r="188" spans="1:7" ht="15" customHeight="1" x14ac:dyDescent="0.25">
      <c r="A188" s="54">
        <v>46128</v>
      </c>
      <c r="B188" s="53" t="s">
        <v>237</v>
      </c>
      <c r="C188" s="53" t="s">
        <v>245</v>
      </c>
      <c r="D188" s="53" t="s">
        <v>222</v>
      </c>
      <c r="E188" s="53"/>
      <c r="F188" s="53"/>
      <c r="G188" s="53"/>
    </row>
    <row r="189" spans="1:7" ht="15.75" customHeight="1" x14ac:dyDescent="0.25">
      <c r="A189" s="65">
        <v>46128</v>
      </c>
      <c r="B189" s="64" t="s">
        <v>239</v>
      </c>
      <c r="C189" s="64" t="s">
        <v>263</v>
      </c>
      <c r="D189" s="53"/>
      <c r="E189" s="53"/>
      <c r="F189" s="53"/>
      <c r="G189" s="53"/>
    </row>
    <row r="190" spans="1:7" ht="15" customHeight="1" x14ac:dyDescent="0.25">
      <c r="A190" s="54">
        <v>46129</v>
      </c>
      <c r="B190" s="53" t="s">
        <v>237</v>
      </c>
      <c r="C190" s="53" t="s">
        <v>265</v>
      </c>
      <c r="D190" s="53"/>
      <c r="E190" s="53"/>
      <c r="F190" s="53" t="s">
        <v>276</v>
      </c>
      <c r="G190" s="53"/>
    </row>
    <row r="191" spans="1:7" ht="15" customHeight="1" x14ac:dyDescent="0.25">
      <c r="A191" s="54">
        <v>46129</v>
      </c>
      <c r="B191" s="53" t="s">
        <v>237</v>
      </c>
      <c r="C191" s="53" t="s">
        <v>230</v>
      </c>
      <c r="D191" s="53"/>
      <c r="E191" s="53" t="s">
        <v>277</v>
      </c>
      <c r="F191" s="53"/>
      <c r="G191" s="53"/>
    </row>
    <row r="192" spans="1:7" ht="15.75" customHeight="1" x14ac:dyDescent="0.25">
      <c r="A192" s="65">
        <v>46129</v>
      </c>
      <c r="B192" s="53"/>
      <c r="C192" s="64" t="s">
        <v>232</v>
      </c>
      <c r="D192" s="53"/>
      <c r="E192" s="53"/>
      <c r="F192" s="53"/>
      <c r="G192" s="53"/>
    </row>
    <row r="193" spans="1:7" ht="15" customHeight="1" x14ac:dyDescent="0.25">
      <c r="A193" s="54">
        <v>46132</v>
      </c>
      <c r="B193" s="53" t="s">
        <v>278</v>
      </c>
      <c r="C193" s="53" t="s">
        <v>263</v>
      </c>
      <c r="D193" s="53"/>
      <c r="E193" s="53"/>
      <c r="F193" s="53" t="s">
        <v>215</v>
      </c>
      <c r="G193" s="53" t="s">
        <v>264</v>
      </c>
    </row>
    <row r="194" spans="1:7" ht="15" customHeight="1" x14ac:dyDescent="0.25">
      <c r="A194" s="54">
        <v>46132</v>
      </c>
      <c r="B194" s="53" t="s">
        <v>218</v>
      </c>
      <c r="C194" s="53" t="s">
        <v>233</v>
      </c>
      <c r="D194" s="53"/>
      <c r="E194" s="53"/>
      <c r="F194" s="53" t="s">
        <v>266</v>
      </c>
      <c r="G194" s="53"/>
    </row>
    <row r="195" spans="1:7" ht="15" customHeight="1" x14ac:dyDescent="0.25">
      <c r="A195" s="54">
        <v>46132</v>
      </c>
      <c r="B195" s="53" t="s">
        <v>239</v>
      </c>
      <c r="C195" s="53"/>
      <c r="D195" s="53"/>
      <c r="E195" s="53"/>
      <c r="F195" s="69" t="s">
        <v>267</v>
      </c>
      <c r="G195" s="53"/>
    </row>
    <row r="196" spans="1:7" ht="15" customHeight="1" x14ac:dyDescent="0.25">
      <c r="A196" s="54">
        <v>46132</v>
      </c>
      <c r="B196" s="53" t="s">
        <v>239</v>
      </c>
      <c r="C196" s="53"/>
      <c r="D196" s="53"/>
      <c r="E196" s="53"/>
      <c r="F196" s="53" t="s">
        <v>279</v>
      </c>
      <c r="G196" s="53"/>
    </row>
    <row r="197" spans="1:7" ht="15" customHeight="1" x14ac:dyDescent="0.25">
      <c r="A197" s="54">
        <v>46132</v>
      </c>
      <c r="B197" s="53"/>
      <c r="C197" s="53"/>
      <c r="D197" s="53"/>
      <c r="E197" s="53"/>
      <c r="F197" s="53" t="s">
        <v>267</v>
      </c>
      <c r="G197" s="53"/>
    </row>
    <row r="198" spans="1:7" ht="15.75" customHeight="1" x14ac:dyDescent="0.25">
      <c r="A198" s="65">
        <v>46132</v>
      </c>
      <c r="B198" s="53"/>
      <c r="C198" s="53"/>
      <c r="D198" s="53"/>
      <c r="E198" s="53"/>
      <c r="F198" s="64" t="s">
        <v>238</v>
      </c>
      <c r="G198" s="53"/>
    </row>
    <row r="199" spans="1:7" ht="15" customHeight="1" x14ac:dyDescent="0.25">
      <c r="A199" s="54">
        <v>46133</v>
      </c>
      <c r="B199" s="53" t="s">
        <v>125</v>
      </c>
      <c r="C199" s="53" t="s">
        <v>232</v>
      </c>
      <c r="D199" s="53"/>
      <c r="E199" s="53"/>
      <c r="F199" s="53"/>
      <c r="G199" s="53" t="s">
        <v>264</v>
      </c>
    </row>
    <row r="200" spans="1:7" ht="15" customHeight="1" x14ac:dyDescent="0.25">
      <c r="A200" s="54">
        <v>46133</v>
      </c>
      <c r="B200" s="53" t="s">
        <v>237</v>
      </c>
      <c r="C200" s="53" t="s">
        <v>232</v>
      </c>
      <c r="D200" s="53"/>
      <c r="E200" s="53"/>
      <c r="F200" s="53"/>
      <c r="G200" s="53" t="s">
        <v>219</v>
      </c>
    </row>
    <row r="201" spans="1:7" ht="15.75" customHeight="1" x14ac:dyDescent="0.25">
      <c r="A201" s="54">
        <v>46133</v>
      </c>
      <c r="B201" s="53" t="s">
        <v>237</v>
      </c>
      <c r="C201" s="53" t="s">
        <v>245</v>
      </c>
      <c r="D201" s="53"/>
      <c r="E201" s="53"/>
      <c r="F201" s="53"/>
      <c r="G201" s="53"/>
    </row>
    <row r="202" spans="1:7" ht="15.75" customHeight="1" x14ac:dyDescent="0.25">
      <c r="A202" s="61">
        <v>46134</v>
      </c>
      <c r="B202" s="62" t="s">
        <v>220</v>
      </c>
      <c r="C202" s="53"/>
      <c r="D202" s="53"/>
      <c r="E202" s="53"/>
      <c r="F202" s="62" t="s">
        <v>215</v>
      </c>
      <c r="G202" s="53"/>
    </row>
    <row r="203" spans="1:7" ht="15.75" customHeight="1" x14ac:dyDescent="0.25">
      <c r="A203" s="61">
        <v>46135</v>
      </c>
      <c r="B203" s="62" t="s">
        <v>222</v>
      </c>
      <c r="C203" s="53"/>
      <c r="D203" s="53"/>
      <c r="E203" s="53"/>
      <c r="F203" s="62" t="s">
        <v>280</v>
      </c>
      <c r="G203" s="62" t="s">
        <v>120</v>
      </c>
    </row>
    <row r="204" spans="1:7" ht="15.75" customHeight="1" x14ac:dyDescent="0.25">
      <c r="A204" s="61">
        <v>46136</v>
      </c>
      <c r="B204" s="62" t="s">
        <v>236</v>
      </c>
      <c r="C204" s="62" t="s">
        <v>258</v>
      </c>
      <c r="D204" s="53"/>
      <c r="E204" s="53"/>
      <c r="F204" s="62" t="s">
        <v>280</v>
      </c>
      <c r="G204" s="53"/>
    </row>
    <row r="205" spans="1:7" ht="15.75" customHeight="1" x14ac:dyDescent="0.25">
      <c r="A205" s="61">
        <v>46230</v>
      </c>
      <c r="B205" s="62" t="s">
        <v>237</v>
      </c>
      <c r="C205" s="53"/>
      <c r="D205" s="53"/>
      <c r="E205" s="53"/>
      <c r="F205" s="53"/>
      <c r="G205" s="53"/>
    </row>
    <row r="206" spans="1:7" ht="15" customHeight="1" x14ac:dyDescent="0.25">
      <c r="A206" s="61">
        <v>46140</v>
      </c>
      <c r="B206" s="62" t="s">
        <v>269</v>
      </c>
      <c r="C206" s="62" t="s">
        <v>281</v>
      </c>
      <c r="D206" s="53"/>
      <c r="E206" s="53"/>
      <c r="F206" s="53"/>
      <c r="G206" s="62" t="s">
        <v>264</v>
      </c>
    </row>
    <row r="207" spans="1:7" ht="15" customHeight="1" x14ac:dyDescent="0.25">
      <c r="A207" s="54">
        <v>46140</v>
      </c>
      <c r="B207" s="53" t="s">
        <v>237</v>
      </c>
      <c r="C207" s="53" t="s">
        <v>241</v>
      </c>
      <c r="D207" s="53"/>
      <c r="E207" s="53"/>
      <c r="F207" s="53"/>
      <c r="G207" s="53"/>
    </row>
    <row r="208" spans="1:7" ht="15" customHeight="1" x14ac:dyDescent="0.25">
      <c r="A208" s="54">
        <v>46140</v>
      </c>
      <c r="B208" s="53" t="s">
        <v>269</v>
      </c>
      <c r="C208" s="53"/>
      <c r="D208" s="53"/>
      <c r="E208" s="53"/>
      <c r="F208" s="53"/>
      <c r="G208" s="53"/>
    </row>
    <row r="209" spans="1:7" ht="15" customHeight="1" x14ac:dyDescent="0.25">
      <c r="A209" s="54">
        <v>46140</v>
      </c>
      <c r="B209" s="53" t="s">
        <v>220</v>
      </c>
      <c r="C209" s="53"/>
      <c r="D209" s="53"/>
      <c r="E209" s="53"/>
      <c r="F209" s="53"/>
      <c r="G209" s="53"/>
    </row>
    <row r="210" spans="1:7" ht="15" customHeight="1" x14ac:dyDescent="0.25">
      <c r="A210" s="54">
        <v>46140</v>
      </c>
      <c r="B210" s="53" t="s">
        <v>217</v>
      </c>
      <c r="C210" s="53"/>
      <c r="D210" s="53"/>
      <c r="E210" s="53"/>
      <c r="F210" s="53"/>
      <c r="G210" s="53"/>
    </row>
    <row r="211" spans="1:7" ht="15" customHeight="1" x14ac:dyDescent="0.25">
      <c r="A211" s="54">
        <v>46140</v>
      </c>
      <c r="B211" s="53" t="s">
        <v>236</v>
      </c>
      <c r="C211" s="53"/>
      <c r="D211" s="53"/>
      <c r="E211" s="53"/>
      <c r="F211" s="53"/>
      <c r="G211" s="53"/>
    </row>
    <row r="212" spans="1:7" ht="15" customHeight="1" x14ac:dyDescent="0.25">
      <c r="A212" s="54">
        <v>46140</v>
      </c>
      <c r="B212" s="53" t="s">
        <v>218</v>
      </c>
      <c r="C212" s="53"/>
      <c r="D212" s="53"/>
      <c r="E212" s="53"/>
      <c r="F212" s="53"/>
      <c r="G212" s="53"/>
    </row>
    <row r="213" spans="1:7" ht="15" customHeight="1" x14ac:dyDescent="0.25">
      <c r="A213" s="54">
        <v>46140</v>
      </c>
      <c r="B213" s="53" t="s">
        <v>103</v>
      </c>
      <c r="C213" s="53"/>
      <c r="D213" s="53"/>
      <c r="E213" s="53"/>
      <c r="F213" s="53"/>
      <c r="G213" s="53"/>
    </row>
    <row r="214" spans="1:7" ht="15" customHeight="1" x14ac:dyDescent="0.25">
      <c r="A214" s="54">
        <v>46140</v>
      </c>
      <c r="B214" s="53" t="s">
        <v>218</v>
      </c>
      <c r="C214" s="53"/>
      <c r="D214" s="53"/>
      <c r="E214" s="53"/>
      <c r="F214" s="53"/>
      <c r="G214" s="53"/>
    </row>
    <row r="215" spans="1:7" ht="15.75" customHeight="1" x14ac:dyDescent="0.25">
      <c r="A215" s="54">
        <v>46140</v>
      </c>
      <c r="B215" s="53" t="s">
        <v>103</v>
      </c>
      <c r="C215" s="53"/>
      <c r="D215" s="53"/>
      <c r="E215" s="53"/>
      <c r="F215" s="53"/>
      <c r="G215" s="53"/>
    </row>
    <row r="216" spans="1:7" ht="15" customHeight="1" x14ac:dyDescent="0.25">
      <c r="A216" s="61">
        <v>46142</v>
      </c>
      <c r="B216" s="62" t="s">
        <v>282</v>
      </c>
      <c r="C216" s="62" t="s">
        <v>283</v>
      </c>
      <c r="D216" s="53"/>
      <c r="E216" s="53"/>
      <c r="F216" s="53"/>
      <c r="G216" s="62" t="s">
        <v>284</v>
      </c>
    </row>
    <row r="217" spans="1:7" ht="15" customHeight="1" x14ac:dyDescent="0.25">
      <c r="A217" s="54">
        <v>46142</v>
      </c>
      <c r="B217" s="53"/>
      <c r="C217" s="53" t="s">
        <v>285</v>
      </c>
      <c r="D217" s="53"/>
      <c r="E217" s="53"/>
      <c r="F217" s="53"/>
      <c r="G217" s="53"/>
    </row>
    <row r="218" spans="1:7" ht="15" customHeight="1" x14ac:dyDescent="0.25">
      <c r="A218" s="54">
        <v>46142</v>
      </c>
      <c r="B218" s="53"/>
      <c r="C218" s="53" t="s">
        <v>286</v>
      </c>
      <c r="D218" s="53"/>
      <c r="E218" s="53"/>
      <c r="F218" s="53"/>
      <c r="G218" s="53"/>
    </row>
    <row r="219" spans="1:7" ht="15" customHeight="1" x14ac:dyDescent="0.25">
      <c r="A219" s="54">
        <v>46142</v>
      </c>
      <c r="B219" s="53"/>
      <c r="C219" s="53" t="s">
        <v>287</v>
      </c>
      <c r="D219" s="53"/>
      <c r="E219" s="53"/>
      <c r="F219" s="53"/>
      <c r="G219" s="53"/>
    </row>
    <row r="220" spans="1:7" ht="15.75" customHeight="1" x14ac:dyDescent="0.25">
      <c r="A220" s="54">
        <v>46142</v>
      </c>
      <c r="B220" s="53"/>
      <c r="C220" s="53" t="s">
        <v>288</v>
      </c>
      <c r="D220" s="53"/>
      <c r="E220" s="53"/>
      <c r="F220" s="53"/>
      <c r="G220" s="53"/>
    </row>
    <row r="221" spans="1:7" ht="15" customHeight="1" x14ac:dyDescent="0.25">
      <c r="A221" s="61">
        <v>46146</v>
      </c>
      <c r="B221" s="62" t="s">
        <v>233</v>
      </c>
      <c r="C221" s="62" t="s">
        <v>227</v>
      </c>
      <c r="D221" s="53"/>
      <c r="E221" s="53"/>
      <c r="F221" s="53"/>
      <c r="G221" s="62" t="s">
        <v>264</v>
      </c>
    </row>
    <row r="222" spans="1:7" ht="15" customHeight="1" x14ac:dyDescent="0.25">
      <c r="A222" s="54">
        <v>46146</v>
      </c>
      <c r="B222" s="53" t="s">
        <v>221</v>
      </c>
      <c r="C222" s="53" t="s">
        <v>241</v>
      </c>
      <c r="D222" s="53"/>
      <c r="E222" s="53"/>
      <c r="F222" s="53"/>
      <c r="G222" s="53"/>
    </row>
    <row r="223" spans="1:7" ht="15" customHeight="1" x14ac:dyDescent="0.25">
      <c r="A223" s="54">
        <v>46146</v>
      </c>
      <c r="B223" s="53" t="s">
        <v>237</v>
      </c>
      <c r="C223" s="53" t="s">
        <v>241</v>
      </c>
      <c r="D223" s="53"/>
      <c r="E223" s="53"/>
      <c r="F223" s="53"/>
      <c r="G223" s="53"/>
    </row>
    <row r="224" spans="1:7" ht="15" customHeight="1" x14ac:dyDescent="0.25">
      <c r="A224" s="54">
        <v>46146</v>
      </c>
      <c r="B224" s="53" t="s">
        <v>221</v>
      </c>
      <c r="C224" s="53" t="s">
        <v>232</v>
      </c>
      <c r="D224" s="53"/>
      <c r="E224" s="53"/>
      <c r="F224" s="53"/>
      <c r="G224" s="53"/>
    </row>
    <row r="225" spans="1:7" ht="15" customHeight="1" x14ac:dyDescent="0.25">
      <c r="A225" s="54">
        <v>46146</v>
      </c>
      <c r="B225" s="53" t="s">
        <v>218</v>
      </c>
      <c r="C225" s="53" t="s">
        <v>237</v>
      </c>
      <c r="D225" s="53"/>
      <c r="E225" s="53"/>
      <c r="F225" s="53"/>
      <c r="G225" s="53"/>
    </row>
    <row r="226" spans="1:7" ht="15" customHeight="1" x14ac:dyDescent="0.25">
      <c r="A226" s="54">
        <v>46146</v>
      </c>
      <c r="B226" s="53" t="s">
        <v>218</v>
      </c>
      <c r="C226" s="53" t="s">
        <v>230</v>
      </c>
      <c r="D226" s="53"/>
      <c r="E226" s="53"/>
      <c r="F226" s="53"/>
      <c r="G226" s="53"/>
    </row>
    <row r="227" spans="1:7" ht="15" customHeight="1" x14ac:dyDescent="0.25">
      <c r="A227" s="54">
        <v>46146</v>
      </c>
      <c r="B227" s="53" t="s">
        <v>237</v>
      </c>
      <c r="C227" s="53" t="s">
        <v>241</v>
      </c>
      <c r="D227" s="53"/>
      <c r="E227" s="53"/>
      <c r="F227" s="53"/>
      <c r="G227" s="53"/>
    </row>
    <row r="228" spans="1:7" ht="15" customHeight="1" x14ac:dyDescent="0.25">
      <c r="A228" s="54">
        <v>46146</v>
      </c>
      <c r="B228" s="53" t="s">
        <v>236</v>
      </c>
      <c r="C228" s="53" t="s">
        <v>258</v>
      </c>
      <c r="D228" s="53"/>
      <c r="E228" s="53"/>
      <c r="F228" s="53"/>
      <c r="G228" s="53"/>
    </row>
    <row r="229" spans="1:7" ht="15" customHeight="1" x14ac:dyDescent="0.25">
      <c r="A229" s="54">
        <v>46146</v>
      </c>
      <c r="B229" s="53" t="s">
        <v>233</v>
      </c>
      <c r="C229" s="53" t="s">
        <v>230</v>
      </c>
      <c r="D229" s="53"/>
      <c r="E229" s="53"/>
      <c r="F229" s="53"/>
      <c r="G229" s="53"/>
    </row>
    <row r="230" spans="1:7" ht="15.75" customHeight="1" x14ac:dyDescent="0.25">
      <c r="A230" s="54">
        <v>46146</v>
      </c>
      <c r="B230" s="53"/>
      <c r="C230" s="53" t="s">
        <v>258</v>
      </c>
      <c r="D230" s="53"/>
      <c r="E230" s="53"/>
      <c r="F230" s="53"/>
      <c r="G230" s="53"/>
    </row>
    <row r="231" spans="1:7" ht="15" customHeight="1" x14ac:dyDescent="0.25">
      <c r="A231" s="61">
        <v>46147</v>
      </c>
      <c r="B231" s="62" t="s">
        <v>240</v>
      </c>
      <c r="C231" s="62" t="s">
        <v>258</v>
      </c>
      <c r="D231" s="53"/>
      <c r="E231" s="53"/>
      <c r="F231" s="53"/>
      <c r="G231" s="62" t="s">
        <v>271</v>
      </c>
    </row>
    <row r="232" spans="1:7" ht="15" customHeight="1" x14ac:dyDescent="0.25">
      <c r="A232" s="54">
        <v>46147</v>
      </c>
      <c r="B232" s="53"/>
      <c r="C232" s="53" t="s">
        <v>207</v>
      </c>
      <c r="D232" s="53"/>
      <c r="E232" s="53"/>
      <c r="F232" s="53"/>
      <c r="G232" s="53" t="s">
        <v>271</v>
      </c>
    </row>
    <row r="233" spans="1:7" ht="15" customHeight="1" x14ac:dyDescent="0.25">
      <c r="A233" s="54">
        <v>46147</v>
      </c>
      <c r="B233" s="53"/>
      <c r="C233" s="53" t="s">
        <v>241</v>
      </c>
      <c r="D233" s="53"/>
      <c r="E233" s="53"/>
      <c r="F233" s="53"/>
      <c r="G233" s="53"/>
    </row>
    <row r="234" spans="1:7" ht="15.75" customHeight="1" x14ac:dyDescent="0.25">
      <c r="A234" s="54">
        <v>46147</v>
      </c>
      <c r="B234" s="53"/>
      <c r="C234" s="53" t="s">
        <v>227</v>
      </c>
      <c r="D234" s="53"/>
      <c r="E234" s="53"/>
      <c r="F234" s="53"/>
      <c r="G234" s="53"/>
    </row>
    <row r="235" spans="1:7" ht="15" customHeight="1" x14ac:dyDescent="0.25">
      <c r="A235" s="61">
        <v>46148</v>
      </c>
      <c r="B235" s="62" t="s">
        <v>289</v>
      </c>
      <c r="C235" s="53"/>
      <c r="D235" s="53"/>
      <c r="E235" s="53"/>
      <c r="F235" s="62" t="s">
        <v>243</v>
      </c>
      <c r="G235" s="62" t="s">
        <v>235</v>
      </c>
    </row>
    <row r="236" spans="1:7" ht="15" customHeight="1" x14ac:dyDescent="0.25">
      <c r="A236" s="54">
        <v>46148</v>
      </c>
      <c r="B236" s="53" t="s">
        <v>218</v>
      </c>
      <c r="C236" s="53"/>
      <c r="D236" s="53"/>
      <c r="E236" s="53"/>
      <c r="F236" s="53"/>
      <c r="G236" s="53" t="s">
        <v>216</v>
      </c>
    </row>
    <row r="237" spans="1:7" ht="15.75" customHeight="1" x14ac:dyDescent="0.25">
      <c r="A237" s="65">
        <v>46148</v>
      </c>
      <c r="B237" s="53"/>
      <c r="C237" s="53"/>
      <c r="D237" s="53"/>
      <c r="E237" s="53"/>
      <c r="F237" s="53"/>
      <c r="G237" s="64" t="s">
        <v>290</v>
      </c>
    </row>
    <row r="238" spans="1:7" ht="15" customHeight="1" x14ac:dyDescent="0.25">
      <c r="A238" s="54">
        <v>46149</v>
      </c>
      <c r="B238" s="53" t="s">
        <v>218</v>
      </c>
      <c r="C238" s="53"/>
      <c r="D238" s="53"/>
      <c r="E238" s="53" t="s">
        <v>291</v>
      </c>
      <c r="F238" s="53" t="s">
        <v>243</v>
      </c>
      <c r="G238" s="53" t="s">
        <v>247</v>
      </c>
    </row>
    <row r="239" spans="1:7" ht="15.75" customHeight="1" x14ac:dyDescent="0.25">
      <c r="A239" s="54">
        <v>46149</v>
      </c>
      <c r="B239" s="53"/>
      <c r="C239" s="53"/>
      <c r="D239" s="53"/>
      <c r="E239" s="53"/>
      <c r="F239" s="53" t="s">
        <v>210</v>
      </c>
      <c r="G239" s="53" t="s">
        <v>247</v>
      </c>
    </row>
    <row r="240" spans="1:7" ht="15" customHeight="1" x14ac:dyDescent="0.25">
      <c r="A240" s="61">
        <v>46153</v>
      </c>
      <c r="B240" s="62" t="s">
        <v>217</v>
      </c>
      <c r="C240" s="62" t="s">
        <v>245</v>
      </c>
      <c r="D240" s="53"/>
      <c r="E240" s="62" t="s">
        <v>258</v>
      </c>
      <c r="F240" s="62" t="s">
        <v>270</v>
      </c>
      <c r="G240" s="62" t="s">
        <v>224</v>
      </c>
    </row>
    <row r="241" spans="1:7" ht="15" customHeight="1" x14ac:dyDescent="0.25">
      <c r="A241" s="54">
        <v>46153</v>
      </c>
      <c r="B241" s="53" t="s">
        <v>240</v>
      </c>
      <c r="C241" s="53" t="s">
        <v>245</v>
      </c>
      <c r="D241" s="53"/>
      <c r="E241" s="53"/>
      <c r="F241" s="53" t="s">
        <v>210</v>
      </c>
      <c r="G241" s="53" t="s">
        <v>216</v>
      </c>
    </row>
    <row r="242" spans="1:7" ht="15" customHeight="1" x14ac:dyDescent="0.25">
      <c r="A242" s="54">
        <v>46153</v>
      </c>
      <c r="B242" s="53" t="s">
        <v>218</v>
      </c>
      <c r="C242" s="53" t="s">
        <v>265</v>
      </c>
      <c r="D242" s="53"/>
      <c r="E242" s="53"/>
      <c r="F242" s="53"/>
      <c r="G242" s="53" t="s">
        <v>216</v>
      </c>
    </row>
    <row r="243" spans="1:7" ht="15.75" customHeight="1" x14ac:dyDescent="0.25">
      <c r="A243" s="54">
        <v>46153</v>
      </c>
      <c r="B243" s="53" t="s">
        <v>233</v>
      </c>
      <c r="C243" s="53" t="s">
        <v>245</v>
      </c>
      <c r="D243" s="53"/>
      <c r="E243" s="53"/>
      <c r="F243" s="53"/>
      <c r="G243" s="53"/>
    </row>
    <row r="244" spans="1:7" ht="15" customHeight="1" x14ac:dyDescent="0.25">
      <c r="A244" s="61">
        <v>46154</v>
      </c>
      <c r="B244" s="62" t="s">
        <v>240</v>
      </c>
      <c r="C244" s="62" t="s">
        <v>274</v>
      </c>
      <c r="D244" s="53"/>
      <c r="E244" s="62" t="s">
        <v>292</v>
      </c>
      <c r="F244" s="62" t="s">
        <v>215</v>
      </c>
      <c r="G244" s="62" t="s">
        <v>256</v>
      </c>
    </row>
    <row r="245" spans="1:7" ht="15" customHeight="1" x14ac:dyDescent="0.25">
      <c r="A245" s="54">
        <v>46154</v>
      </c>
      <c r="B245" s="53" t="s">
        <v>236</v>
      </c>
      <c r="C245" s="53"/>
      <c r="D245" s="53"/>
      <c r="E245" s="53"/>
      <c r="F245" s="53"/>
      <c r="G245" s="53"/>
    </row>
    <row r="246" spans="1:7" ht="15.75" customHeight="1" x14ac:dyDescent="0.25">
      <c r="A246" s="54">
        <v>46154</v>
      </c>
      <c r="B246" s="53" t="s">
        <v>217</v>
      </c>
      <c r="C246" s="53"/>
      <c r="D246" s="53"/>
      <c r="E246" s="53"/>
      <c r="F246" s="53"/>
      <c r="G246" s="53"/>
    </row>
    <row r="247" spans="1:7" ht="15" customHeight="1" x14ac:dyDescent="0.25">
      <c r="A247" s="61">
        <v>46155</v>
      </c>
      <c r="B247" s="62" t="s">
        <v>293</v>
      </c>
      <c r="C247" s="62" t="s">
        <v>294</v>
      </c>
      <c r="D247" s="62" t="s">
        <v>295</v>
      </c>
      <c r="E247" s="53"/>
      <c r="F247" s="62" t="s">
        <v>296</v>
      </c>
      <c r="G247" s="53"/>
    </row>
    <row r="248" spans="1:7" ht="15" customHeight="1" x14ac:dyDescent="0.25">
      <c r="A248" s="54">
        <v>46155</v>
      </c>
      <c r="B248" s="53" t="s">
        <v>297</v>
      </c>
      <c r="C248" s="53"/>
      <c r="D248" s="53"/>
      <c r="E248" s="53"/>
      <c r="F248" s="53" t="s">
        <v>298</v>
      </c>
      <c r="G248" s="53"/>
    </row>
    <row r="249" spans="1:7" ht="15" customHeight="1" x14ac:dyDescent="0.25">
      <c r="A249" s="54">
        <v>46155</v>
      </c>
      <c r="B249" s="53" t="s">
        <v>299</v>
      </c>
      <c r="C249" s="53"/>
      <c r="D249" s="53"/>
      <c r="E249" s="53"/>
      <c r="F249" s="53" t="s">
        <v>300</v>
      </c>
      <c r="G249" s="53"/>
    </row>
    <row r="250" spans="1:7" ht="15.75" customHeight="1" x14ac:dyDescent="0.25">
      <c r="A250" s="54">
        <v>46155</v>
      </c>
      <c r="B250" s="53" t="s">
        <v>301</v>
      </c>
      <c r="C250" s="53"/>
      <c r="D250" s="53"/>
      <c r="E250" s="53"/>
      <c r="F250" s="53"/>
      <c r="G250" s="53"/>
    </row>
    <row r="251" spans="1:7" ht="15" customHeight="1" x14ac:dyDescent="0.25">
      <c r="A251" s="61">
        <v>46156</v>
      </c>
      <c r="B251" s="62" t="s">
        <v>302</v>
      </c>
      <c r="C251" s="62" t="s">
        <v>303</v>
      </c>
      <c r="D251" s="53"/>
      <c r="E251" s="53"/>
      <c r="F251" s="53"/>
      <c r="G251" s="53"/>
    </row>
    <row r="252" spans="1:7" ht="15" customHeight="1" x14ac:dyDescent="0.25">
      <c r="A252" s="54">
        <v>46156</v>
      </c>
      <c r="B252" s="53" t="s">
        <v>304</v>
      </c>
      <c r="C252" s="53"/>
      <c r="D252" s="53"/>
      <c r="E252" s="53"/>
      <c r="F252" s="53"/>
      <c r="G252" s="53"/>
    </row>
    <row r="253" spans="1:7" ht="15.75" customHeight="1" x14ac:dyDescent="0.25">
      <c r="A253" s="54">
        <v>46156</v>
      </c>
      <c r="B253" s="53" t="s">
        <v>305</v>
      </c>
      <c r="C253" s="53"/>
      <c r="D253" s="53"/>
      <c r="E253" s="53"/>
      <c r="F253" s="53"/>
      <c r="G253" s="53"/>
    </row>
    <row r="254" spans="1:7" ht="15" customHeight="1" x14ac:dyDescent="0.25">
      <c r="A254" s="61">
        <v>46157</v>
      </c>
      <c r="B254" s="62" t="s">
        <v>306</v>
      </c>
      <c r="C254" s="62" t="s">
        <v>307</v>
      </c>
      <c r="D254" s="62" t="s">
        <v>308</v>
      </c>
      <c r="E254" s="53"/>
      <c r="F254" s="62" t="s">
        <v>309</v>
      </c>
      <c r="G254" s="62" t="s">
        <v>310</v>
      </c>
    </row>
    <row r="255" spans="1:7" ht="15" customHeight="1" x14ac:dyDescent="0.25">
      <c r="A255" s="54">
        <v>46157</v>
      </c>
      <c r="B255" s="53" t="s">
        <v>305</v>
      </c>
      <c r="C255" s="53" t="s">
        <v>241</v>
      </c>
      <c r="D255" s="53"/>
      <c r="E255" s="53"/>
      <c r="F255" s="53" t="s">
        <v>311</v>
      </c>
      <c r="G255" s="53" t="s">
        <v>312</v>
      </c>
    </row>
    <row r="256" spans="1:7" ht="15" customHeight="1" x14ac:dyDescent="0.25">
      <c r="A256" s="54">
        <v>46157</v>
      </c>
      <c r="B256" s="53" t="s">
        <v>302</v>
      </c>
      <c r="C256" s="53"/>
      <c r="D256" s="53"/>
      <c r="E256" s="53"/>
      <c r="F256" s="53"/>
      <c r="G256" s="53"/>
    </row>
    <row r="257" spans="1:7" ht="15.75" customHeight="1" x14ac:dyDescent="0.25">
      <c r="A257" s="54">
        <v>46157</v>
      </c>
      <c r="B257" s="53" t="s">
        <v>294</v>
      </c>
      <c r="C257" s="53"/>
      <c r="D257" s="53"/>
      <c r="E257" s="53"/>
      <c r="F257" s="53"/>
      <c r="G257" s="53"/>
    </row>
    <row r="258" spans="1:7" ht="15" customHeight="1" x14ac:dyDescent="0.25">
      <c r="A258" s="61">
        <v>46160</v>
      </c>
      <c r="B258" s="62" t="s">
        <v>313</v>
      </c>
      <c r="C258" s="62" t="s">
        <v>314</v>
      </c>
      <c r="D258" s="62" t="s">
        <v>315</v>
      </c>
      <c r="E258" s="62" t="s">
        <v>316</v>
      </c>
      <c r="F258" s="62" t="s">
        <v>317</v>
      </c>
      <c r="G258" s="62" t="s">
        <v>318</v>
      </c>
    </row>
    <row r="259" spans="1:7" ht="15" customHeight="1" x14ac:dyDescent="0.25">
      <c r="A259" s="54">
        <v>46160</v>
      </c>
      <c r="B259" s="53" t="s">
        <v>319</v>
      </c>
      <c r="C259" s="53" t="s">
        <v>320</v>
      </c>
      <c r="D259" s="53" t="s">
        <v>321</v>
      </c>
      <c r="E259" s="53"/>
      <c r="F259" s="53" t="s">
        <v>322</v>
      </c>
      <c r="G259" s="53" t="s">
        <v>323</v>
      </c>
    </row>
    <row r="260" spans="1:7" ht="15" customHeight="1" x14ac:dyDescent="0.25">
      <c r="A260" s="54">
        <v>46160</v>
      </c>
      <c r="B260" s="53" t="s">
        <v>302</v>
      </c>
      <c r="C260" s="53" t="s">
        <v>265</v>
      </c>
      <c r="D260" s="53"/>
      <c r="E260" s="53"/>
      <c r="F260" s="53" t="s">
        <v>324</v>
      </c>
      <c r="G260" s="53" t="s">
        <v>310</v>
      </c>
    </row>
    <row r="261" spans="1:7" ht="15" customHeight="1" x14ac:dyDescent="0.25">
      <c r="A261" s="54">
        <v>46160</v>
      </c>
      <c r="B261" s="53" t="s">
        <v>325</v>
      </c>
      <c r="C261" s="53" t="s">
        <v>326</v>
      </c>
      <c r="D261" s="53"/>
      <c r="E261" s="53"/>
      <c r="F261" s="53"/>
      <c r="G261" s="53" t="s">
        <v>327</v>
      </c>
    </row>
    <row r="262" spans="1:7" ht="15.75" customHeight="1" x14ac:dyDescent="0.25">
      <c r="A262" s="54">
        <v>46160</v>
      </c>
      <c r="B262" s="53" t="s">
        <v>328</v>
      </c>
      <c r="C262" s="53" t="s">
        <v>329</v>
      </c>
      <c r="D262" s="53"/>
      <c r="E262" s="53"/>
      <c r="F262" s="53"/>
      <c r="G262" s="53" t="s">
        <v>330</v>
      </c>
    </row>
    <row r="263" spans="1:7" ht="15" customHeight="1" x14ac:dyDescent="0.25">
      <c r="A263" s="61">
        <v>46161</v>
      </c>
      <c r="B263" s="53"/>
      <c r="C263" s="62" t="s">
        <v>331</v>
      </c>
      <c r="D263" s="53"/>
      <c r="E263" s="53"/>
      <c r="F263" s="53"/>
      <c r="G263" s="53"/>
    </row>
    <row r="264" spans="1:7" ht="15" customHeight="1" x14ac:dyDescent="0.25">
      <c r="A264" s="54">
        <v>46161</v>
      </c>
      <c r="B264" s="53"/>
      <c r="C264" s="53" t="s">
        <v>332</v>
      </c>
      <c r="D264" s="53"/>
      <c r="E264" s="53"/>
      <c r="F264" s="53"/>
      <c r="G264" s="53"/>
    </row>
    <row r="265" spans="1:7" ht="15" customHeight="1" x14ac:dyDescent="0.25">
      <c r="A265" s="70">
        <v>46161</v>
      </c>
      <c r="B265" s="71"/>
      <c r="C265" s="71" t="s">
        <v>333</v>
      </c>
      <c r="D265" s="71"/>
      <c r="E265" s="71"/>
      <c r="F265" s="71"/>
      <c r="G265" s="71"/>
    </row>
    <row r="266" spans="1:7" ht="15" customHeight="1" x14ac:dyDescent="0.25">
      <c r="A266" s="70">
        <v>46161</v>
      </c>
      <c r="B266" s="71"/>
      <c r="C266" s="71" t="s">
        <v>334</v>
      </c>
      <c r="D266" s="71"/>
      <c r="E266" s="71"/>
      <c r="F266" s="71"/>
      <c r="G266" s="71"/>
    </row>
    <row r="267" spans="1:7" ht="15.75" customHeight="1" x14ac:dyDescent="0.25">
      <c r="A267" s="72">
        <v>46161</v>
      </c>
      <c r="B267" s="73"/>
      <c r="C267" s="73" t="s">
        <v>335</v>
      </c>
      <c r="D267" s="73"/>
      <c r="E267" s="73"/>
      <c r="F267" s="73"/>
      <c r="G267" s="73"/>
    </row>
    <row r="268" spans="1:7" s="13" customFormat="1" ht="15" customHeight="1" x14ac:dyDescent="0.25">
      <c r="A268" s="74">
        <v>46162</v>
      </c>
      <c r="B268" s="75"/>
      <c r="C268" s="75" t="s">
        <v>335</v>
      </c>
      <c r="D268" s="75"/>
      <c r="E268" s="75"/>
      <c r="F268" s="75"/>
      <c r="G268" s="75" t="s">
        <v>323</v>
      </c>
    </row>
    <row r="269" spans="1:7" ht="15.75" customHeight="1" x14ac:dyDescent="0.25">
      <c r="A269" s="72">
        <v>46162</v>
      </c>
      <c r="B269" s="73"/>
      <c r="C269" s="73" t="s">
        <v>331</v>
      </c>
      <c r="D269" s="73"/>
      <c r="E269" s="73"/>
      <c r="F269" s="73"/>
      <c r="G269" s="73"/>
    </row>
    <row r="270" spans="1:7" s="13" customFormat="1" ht="15" customHeight="1" x14ac:dyDescent="0.25">
      <c r="A270" s="74">
        <v>46163</v>
      </c>
      <c r="B270" s="75" t="s">
        <v>336</v>
      </c>
      <c r="C270" s="75" t="s">
        <v>335</v>
      </c>
      <c r="D270" s="75"/>
      <c r="E270" s="75"/>
      <c r="F270" s="75"/>
      <c r="G270" s="75"/>
    </row>
    <row r="271" spans="1:7" ht="15" customHeight="1" x14ac:dyDescent="0.25">
      <c r="A271" s="70">
        <v>46163</v>
      </c>
      <c r="B271" s="71"/>
      <c r="C271" s="71" t="s">
        <v>331</v>
      </c>
      <c r="D271" s="71"/>
      <c r="E271" s="71"/>
      <c r="F271" s="71"/>
      <c r="G271" s="71"/>
    </row>
    <row r="272" spans="1:7" ht="15.75" customHeight="1" x14ac:dyDescent="0.25">
      <c r="A272" s="72">
        <v>46163</v>
      </c>
      <c r="B272" s="73"/>
      <c r="C272" s="73" t="s">
        <v>337</v>
      </c>
      <c r="D272" s="73"/>
      <c r="E272" s="73"/>
      <c r="F272" s="73"/>
      <c r="G272" s="73"/>
    </row>
    <row r="273" spans="1:7" s="13" customFormat="1" ht="15" customHeight="1" x14ac:dyDescent="0.25">
      <c r="A273" s="74">
        <v>46164</v>
      </c>
      <c r="B273" s="75" t="s">
        <v>338</v>
      </c>
      <c r="C273" s="75" t="s">
        <v>331</v>
      </c>
      <c r="D273" s="75"/>
      <c r="E273" s="75"/>
      <c r="F273" s="75" t="s">
        <v>339</v>
      </c>
      <c r="G273" s="75"/>
    </row>
    <row r="274" spans="1:7" ht="15" customHeight="1" x14ac:dyDescent="0.25">
      <c r="A274" s="70">
        <v>46164</v>
      </c>
      <c r="B274" s="71" t="s">
        <v>340</v>
      </c>
      <c r="C274" s="71" t="s">
        <v>337</v>
      </c>
      <c r="D274" s="71"/>
      <c r="E274" s="71"/>
      <c r="F274" s="71" t="s">
        <v>341</v>
      </c>
      <c r="G274" s="71"/>
    </row>
    <row r="275" spans="1:7" ht="15.75" customHeight="1" x14ac:dyDescent="0.25">
      <c r="A275" s="72">
        <v>46164</v>
      </c>
      <c r="B275" s="73" t="s">
        <v>342</v>
      </c>
      <c r="C275" s="73"/>
      <c r="D275" s="73"/>
      <c r="E275" s="73"/>
      <c r="F275" s="73"/>
      <c r="G275" s="73"/>
    </row>
    <row r="276" spans="1:7" s="13" customFormat="1" ht="15" customHeight="1" x14ac:dyDescent="0.25">
      <c r="A276" s="74">
        <v>46167</v>
      </c>
      <c r="B276" s="75" t="s">
        <v>103</v>
      </c>
      <c r="C276" s="75" t="s">
        <v>207</v>
      </c>
      <c r="D276" s="75"/>
      <c r="E276" s="75"/>
      <c r="F276" s="75" t="s">
        <v>267</v>
      </c>
      <c r="G276" s="75" t="s">
        <v>264</v>
      </c>
    </row>
    <row r="277" spans="1:7" ht="15" customHeight="1" x14ac:dyDescent="0.25">
      <c r="A277" s="70">
        <v>46167</v>
      </c>
      <c r="B277" s="71" t="s">
        <v>278</v>
      </c>
      <c r="C277" s="71" t="s">
        <v>245</v>
      </c>
      <c r="D277" s="71"/>
      <c r="E277" s="71"/>
      <c r="F277" s="71" t="s">
        <v>215</v>
      </c>
      <c r="G277" s="71"/>
    </row>
    <row r="278" spans="1:7" ht="15" customHeight="1" x14ac:dyDescent="0.25">
      <c r="A278" s="70">
        <v>46167</v>
      </c>
      <c r="B278" s="71"/>
      <c r="C278" s="71"/>
      <c r="D278" s="71"/>
      <c r="E278" s="71"/>
      <c r="F278" s="71" t="s">
        <v>260</v>
      </c>
      <c r="G278" s="71"/>
    </row>
    <row r="279" spans="1:7" ht="15.75" customHeight="1" x14ac:dyDescent="0.25">
      <c r="A279" s="72">
        <v>46167</v>
      </c>
      <c r="B279" s="73"/>
      <c r="C279" s="73"/>
      <c r="D279" s="73"/>
      <c r="E279" s="73"/>
      <c r="F279" s="73" t="s">
        <v>238</v>
      </c>
      <c r="G279" s="73"/>
    </row>
    <row r="280" spans="1:7" s="13" customFormat="1" ht="15" customHeight="1" x14ac:dyDescent="0.25">
      <c r="A280" s="74">
        <v>46168</v>
      </c>
      <c r="B280" s="75" t="s">
        <v>343</v>
      </c>
      <c r="C280" s="75" t="s">
        <v>344</v>
      </c>
      <c r="D280" s="75"/>
      <c r="E280" s="75"/>
      <c r="F280" s="75" t="s">
        <v>345</v>
      </c>
      <c r="G280" s="75" t="s">
        <v>346</v>
      </c>
    </row>
    <row r="281" spans="1:7" ht="15.75" customHeight="1" x14ac:dyDescent="0.25">
      <c r="A281" s="72">
        <v>46168</v>
      </c>
      <c r="B281" s="73"/>
      <c r="C281" s="73"/>
      <c r="D281" s="73"/>
      <c r="E281" s="73"/>
      <c r="F281" s="73" t="s">
        <v>347</v>
      </c>
      <c r="G281" s="73"/>
    </row>
    <row r="282" spans="1:7" s="13" customFormat="1" ht="15.75" customHeight="1" x14ac:dyDescent="0.25">
      <c r="A282" s="76">
        <v>46169</v>
      </c>
      <c r="B282" s="77"/>
      <c r="C282" s="77" t="s">
        <v>348</v>
      </c>
      <c r="D282" s="77"/>
      <c r="E282" s="77"/>
      <c r="F282" s="77" t="s">
        <v>345</v>
      </c>
      <c r="G282" s="77" t="s">
        <v>346</v>
      </c>
    </row>
    <row r="283" spans="1:7" s="13" customFormat="1" ht="15" customHeight="1" x14ac:dyDescent="0.25">
      <c r="A283" s="74">
        <v>46170</v>
      </c>
      <c r="B283" s="75" t="s">
        <v>349</v>
      </c>
      <c r="C283" s="75" t="s">
        <v>348</v>
      </c>
      <c r="D283" s="75"/>
      <c r="E283" s="75"/>
      <c r="F283" s="75" t="s">
        <v>350</v>
      </c>
      <c r="G283" s="75" t="s">
        <v>351</v>
      </c>
    </row>
    <row r="284" spans="1:7" ht="15" customHeight="1" x14ac:dyDescent="0.25">
      <c r="A284" s="70">
        <v>46170</v>
      </c>
      <c r="B284" s="71" t="s">
        <v>352</v>
      </c>
      <c r="C284" s="71"/>
      <c r="D284" s="71"/>
      <c r="E284" s="71"/>
      <c r="F284" s="71"/>
      <c r="G284" s="71" t="s">
        <v>353</v>
      </c>
    </row>
    <row r="285" spans="1:7" ht="15.75" customHeight="1" x14ac:dyDescent="0.25">
      <c r="A285" s="72">
        <v>46170</v>
      </c>
      <c r="B285" s="73" t="s">
        <v>168</v>
      </c>
      <c r="C285" s="73"/>
      <c r="D285" s="73"/>
      <c r="E285" s="73"/>
      <c r="F285" s="73"/>
      <c r="G285" s="73"/>
    </row>
    <row r="286" spans="1:7" s="13" customFormat="1" ht="15" customHeight="1" x14ac:dyDescent="0.25">
      <c r="A286" s="74">
        <v>46171</v>
      </c>
      <c r="B286" s="75"/>
      <c r="C286" s="75" t="s">
        <v>164</v>
      </c>
      <c r="D286" s="75"/>
      <c r="E286" s="75"/>
      <c r="F286" s="75"/>
      <c r="G286" s="75" t="s">
        <v>166</v>
      </c>
    </row>
    <row r="287" spans="1:7" ht="15" customHeight="1" x14ac:dyDescent="0.25">
      <c r="A287" s="70">
        <v>46171</v>
      </c>
      <c r="B287" s="71"/>
      <c r="C287" s="71" t="s">
        <v>165</v>
      </c>
      <c r="D287" s="71"/>
      <c r="E287" s="71"/>
      <c r="F287" s="71"/>
      <c r="G287" s="71" t="s">
        <v>354</v>
      </c>
    </row>
    <row r="288" spans="1:7" ht="15.75" customHeight="1" x14ac:dyDescent="0.25">
      <c r="A288" s="72">
        <v>46171</v>
      </c>
      <c r="B288" s="73"/>
      <c r="C288" s="73"/>
      <c r="D288" s="73"/>
      <c r="E288" s="73"/>
      <c r="F288" s="73"/>
      <c r="G288" s="73" t="s">
        <v>353</v>
      </c>
    </row>
    <row r="289" spans="1:7" s="13" customFormat="1" ht="15" customHeight="1" x14ac:dyDescent="0.25">
      <c r="A289" s="78">
        <v>46174</v>
      </c>
      <c r="B289" s="79"/>
      <c r="C289" s="79"/>
      <c r="D289" s="79"/>
      <c r="E289" s="79" t="s">
        <v>355</v>
      </c>
      <c r="F289" s="79" t="s">
        <v>356</v>
      </c>
      <c r="G289" s="75" t="s">
        <v>353</v>
      </c>
    </row>
    <row r="290" spans="1:7" ht="15" customHeight="1" x14ac:dyDescent="0.25">
      <c r="A290" s="80">
        <v>46174</v>
      </c>
      <c r="B290" s="81"/>
      <c r="C290" s="81"/>
      <c r="D290" s="81"/>
      <c r="E290" s="81"/>
      <c r="F290" s="81" t="s">
        <v>357</v>
      </c>
      <c r="G290" s="81" t="s">
        <v>358</v>
      </c>
    </row>
    <row r="291" spans="1:7" ht="15.75" customHeight="1" x14ac:dyDescent="0.25">
      <c r="A291" s="82">
        <v>46174</v>
      </c>
      <c r="B291" s="83"/>
      <c r="C291" s="83"/>
      <c r="D291" s="83"/>
      <c r="E291" s="83"/>
      <c r="F291" s="83"/>
      <c r="G291" s="83" t="s">
        <v>359</v>
      </c>
    </row>
    <row r="292" spans="1:7" s="13" customFormat="1" ht="15" customHeight="1" x14ac:dyDescent="0.25">
      <c r="A292" s="78">
        <v>46175</v>
      </c>
      <c r="B292" s="79" t="s">
        <v>360</v>
      </c>
      <c r="C292" s="79" t="s">
        <v>361</v>
      </c>
      <c r="D292" s="79"/>
      <c r="E292" s="79"/>
      <c r="F292" s="79" t="s">
        <v>357</v>
      </c>
      <c r="G292" s="79" t="s">
        <v>362</v>
      </c>
    </row>
    <row r="293" spans="1:7" ht="15" customHeight="1" x14ac:dyDescent="0.25">
      <c r="A293" s="80">
        <v>46175</v>
      </c>
      <c r="B293" s="81"/>
      <c r="C293" s="81"/>
      <c r="D293" s="81"/>
      <c r="E293" s="81"/>
      <c r="F293" s="81"/>
      <c r="G293" s="81" t="s">
        <v>363</v>
      </c>
    </row>
    <row r="294" spans="1:7" ht="15" customHeight="1" x14ac:dyDescent="0.25">
      <c r="A294" s="80">
        <v>46175</v>
      </c>
      <c r="B294" s="81"/>
      <c r="C294" s="81"/>
      <c r="D294" s="81"/>
      <c r="E294" s="81"/>
      <c r="F294" s="81"/>
      <c r="G294" s="81" t="s">
        <v>353</v>
      </c>
    </row>
    <row r="295" spans="1:7" ht="15" customHeight="1" x14ac:dyDescent="0.25">
      <c r="A295" s="80">
        <v>46175</v>
      </c>
      <c r="B295" s="81"/>
      <c r="C295" s="81"/>
      <c r="D295" s="81"/>
      <c r="E295" s="81"/>
      <c r="F295" s="81"/>
      <c r="G295" s="81" t="s">
        <v>358</v>
      </c>
    </row>
    <row r="296" spans="1:7" ht="15.75" customHeight="1" x14ac:dyDescent="0.25">
      <c r="A296" s="82">
        <v>46176</v>
      </c>
      <c r="B296" s="83"/>
      <c r="C296" s="83"/>
      <c r="D296" s="83"/>
      <c r="E296" s="83"/>
      <c r="F296" s="83" t="s">
        <v>364</v>
      </c>
      <c r="G296" s="83"/>
    </row>
    <row r="297" spans="1:7" s="13" customFormat="1" ht="15" customHeight="1" x14ac:dyDescent="0.25">
      <c r="A297" s="78">
        <v>45812</v>
      </c>
      <c r="B297" s="79" t="s">
        <v>365</v>
      </c>
      <c r="C297" s="79" t="s">
        <v>366</v>
      </c>
      <c r="D297" s="79"/>
      <c r="E297" s="79"/>
      <c r="F297" s="79"/>
      <c r="G297" s="79"/>
    </row>
    <row r="298" spans="1:7" ht="15" customHeight="1" thickBot="1" x14ac:dyDescent="0.3">
      <c r="A298" s="82">
        <v>46177</v>
      </c>
      <c r="B298" s="83"/>
      <c r="C298" s="83" t="s">
        <v>367</v>
      </c>
      <c r="D298" s="83"/>
      <c r="E298" s="83"/>
      <c r="F298" s="83"/>
      <c r="G298" s="83"/>
    </row>
    <row r="299" spans="1:7" x14ac:dyDescent="0.25">
      <c r="A299" s="108">
        <v>46181</v>
      </c>
      <c r="B299" s="79" t="s">
        <v>425</v>
      </c>
      <c r="C299" s="79" t="s">
        <v>366</v>
      </c>
      <c r="D299" s="79"/>
      <c r="E299" s="79"/>
      <c r="F299" s="79" t="s">
        <v>435</v>
      </c>
      <c r="G299" s="109"/>
    </row>
    <row r="300" spans="1:7" x14ac:dyDescent="0.25">
      <c r="A300" s="110">
        <v>46181</v>
      </c>
      <c r="B300" s="81" t="s">
        <v>427</v>
      </c>
      <c r="C300" s="81"/>
      <c r="D300" s="81"/>
      <c r="E300" s="81"/>
      <c r="F300" s="81"/>
      <c r="G300" s="111"/>
    </row>
    <row r="301" spans="1:7" x14ac:dyDescent="0.25">
      <c r="A301" s="110">
        <v>46181</v>
      </c>
      <c r="B301" s="107" t="s">
        <v>365</v>
      </c>
      <c r="C301" s="81"/>
      <c r="D301" s="81"/>
      <c r="E301" s="81"/>
      <c r="F301" s="81"/>
      <c r="G301" s="111"/>
    </row>
    <row r="302" spans="1:7" x14ac:dyDescent="0.25">
      <c r="A302" s="110">
        <v>46181</v>
      </c>
      <c r="B302" s="107" t="s">
        <v>429</v>
      </c>
      <c r="C302" s="81"/>
      <c r="D302" s="81"/>
      <c r="E302" s="81"/>
      <c r="F302" s="81"/>
      <c r="G302" s="111"/>
    </row>
    <row r="303" spans="1:7" x14ac:dyDescent="0.25">
      <c r="A303" s="110">
        <v>46181</v>
      </c>
      <c r="B303" s="107" t="s">
        <v>432</v>
      </c>
      <c r="C303" s="81"/>
      <c r="D303" s="81"/>
      <c r="E303" s="81"/>
      <c r="F303" s="81"/>
      <c r="G303" s="111"/>
    </row>
    <row r="304" spans="1:7" x14ac:dyDescent="0.25">
      <c r="A304" s="110">
        <v>46181</v>
      </c>
      <c r="B304" s="107" t="s">
        <v>433</v>
      </c>
      <c r="C304" s="81"/>
      <c r="D304" s="81"/>
      <c r="E304" s="81"/>
      <c r="F304" s="81"/>
      <c r="G304" s="111"/>
    </row>
    <row r="305" spans="1:7" x14ac:dyDescent="0.25">
      <c r="A305" s="110">
        <v>46181</v>
      </c>
      <c r="B305" s="107" t="s">
        <v>434</v>
      </c>
      <c r="C305" s="81"/>
      <c r="D305" s="81"/>
      <c r="E305" s="81"/>
      <c r="F305" s="81"/>
      <c r="G305" s="111"/>
    </row>
    <row r="306" spans="1:7" ht="15.75" thickBot="1" x14ac:dyDescent="0.3">
      <c r="A306" s="112">
        <v>46181</v>
      </c>
      <c r="B306" s="113" t="s">
        <v>437</v>
      </c>
      <c r="C306" s="114"/>
      <c r="D306" s="114"/>
      <c r="E306" s="114"/>
      <c r="F306" s="114"/>
      <c r="G306" s="115"/>
    </row>
    <row r="307" spans="1:7" x14ac:dyDescent="0.25">
      <c r="A307" s="108">
        <v>46182</v>
      </c>
      <c r="B307" s="79" t="s">
        <v>461</v>
      </c>
      <c r="C307" s="79" t="s">
        <v>474</v>
      </c>
      <c r="D307" s="79"/>
      <c r="E307" s="79"/>
      <c r="F307" s="79" t="s">
        <v>465</v>
      </c>
      <c r="G307" s="109" t="s">
        <v>460</v>
      </c>
    </row>
    <row r="308" spans="1:7" x14ac:dyDescent="0.25">
      <c r="A308" s="110">
        <v>46182</v>
      </c>
      <c r="B308" s="81" t="s">
        <v>427</v>
      </c>
      <c r="C308" s="81"/>
      <c r="D308" s="81"/>
      <c r="E308" s="81"/>
      <c r="F308" s="81"/>
      <c r="G308" s="111" t="s">
        <v>462</v>
      </c>
    </row>
    <row r="309" spans="1:7" x14ac:dyDescent="0.25">
      <c r="A309" s="110">
        <v>46182</v>
      </c>
      <c r="B309" s="107" t="s">
        <v>365</v>
      </c>
      <c r="C309" s="81"/>
      <c r="D309" s="81"/>
      <c r="E309" s="81"/>
      <c r="F309" s="81"/>
      <c r="G309" s="111" t="s">
        <v>480</v>
      </c>
    </row>
    <row r="310" spans="1:7" x14ac:dyDescent="0.25">
      <c r="A310" s="110">
        <v>46182</v>
      </c>
      <c r="B310" s="107" t="s">
        <v>475</v>
      </c>
      <c r="C310" s="81"/>
      <c r="D310" s="81"/>
      <c r="E310" s="81"/>
      <c r="F310" s="81"/>
      <c r="G310" s="111" t="s">
        <v>481</v>
      </c>
    </row>
    <row r="311" spans="1:7" x14ac:dyDescent="0.25">
      <c r="A311" s="110">
        <v>46182</v>
      </c>
      <c r="B311" s="107"/>
      <c r="C311" s="81"/>
      <c r="D311" s="81"/>
      <c r="E311" s="81"/>
      <c r="F311" s="81"/>
      <c r="G311" s="111"/>
    </row>
    <row r="312" spans="1:7" x14ac:dyDescent="0.25">
      <c r="A312" s="110">
        <v>46182</v>
      </c>
      <c r="B312" s="107"/>
      <c r="C312" s="81"/>
      <c r="D312" s="81"/>
      <c r="E312" s="81"/>
      <c r="F312" s="81"/>
      <c r="G312" s="111"/>
    </row>
    <row r="313" spans="1:7" x14ac:dyDescent="0.25">
      <c r="A313" s="110">
        <v>46182</v>
      </c>
      <c r="B313" s="107"/>
      <c r="C313" s="81"/>
      <c r="D313" s="81"/>
      <c r="E313" s="81"/>
      <c r="F313" s="81"/>
      <c r="G313" s="111"/>
    </row>
    <row r="314" spans="1:7" ht="15.75" thickBot="1" x14ac:dyDescent="0.3">
      <c r="A314" s="110">
        <v>46182</v>
      </c>
      <c r="B314" s="113"/>
      <c r="C314" s="114"/>
      <c r="D314" s="114"/>
      <c r="E314" s="114"/>
      <c r="F314" s="114"/>
      <c r="G314" s="115"/>
    </row>
    <row r="315" spans="1:7" x14ac:dyDescent="0.25">
      <c r="A315" s="108">
        <v>46183</v>
      </c>
      <c r="B315" s="79" t="s">
        <v>516</v>
      </c>
      <c r="C315" s="79" t="s">
        <v>517</v>
      </c>
      <c r="D315" s="79"/>
      <c r="E315" s="79"/>
      <c r="F315" s="79" t="s">
        <v>506</v>
      </c>
      <c r="G315" s="109" t="s">
        <v>509</v>
      </c>
    </row>
    <row r="316" spans="1:7" x14ac:dyDescent="0.25">
      <c r="A316" s="110">
        <v>46183</v>
      </c>
      <c r="B316" s="81" t="s">
        <v>461</v>
      </c>
      <c r="C316" s="81" t="s">
        <v>518</v>
      </c>
      <c r="D316" s="81"/>
      <c r="E316" s="81"/>
      <c r="F316" s="81"/>
      <c r="G316" s="111" t="s">
        <v>481</v>
      </c>
    </row>
    <row r="317" spans="1:7" x14ac:dyDescent="0.25">
      <c r="A317" s="127">
        <v>46183</v>
      </c>
      <c r="B317" s="81" t="s">
        <v>527</v>
      </c>
      <c r="C317" s="81" t="s">
        <v>524</v>
      </c>
      <c r="D317" s="81"/>
      <c r="E317" s="81"/>
      <c r="F317" s="81"/>
      <c r="G317" s="111"/>
    </row>
    <row r="318" spans="1:7" x14ac:dyDescent="0.25">
      <c r="A318" s="127">
        <v>46183</v>
      </c>
      <c r="B318" s="107" t="s">
        <v>530</v>
      </c>
      <c r="C318" s="107" t="s">
        <v>526</v>
      </c>
      <c r="D318" s="81"/>
      <c r="E318" s="81"/>
      <c r="F318" s="81"/>
      <c r="G318" s="111"/>
    </row>
    <row r="319" spans="1:7" ht="15.75" thickBot="1" x14ac:dyDescent="0.3">
      <c r="A319" s="128">
        <v>46183</v>
      </c>
      <c r="B319" s="114"/>
      <c r="C319" s="114"/>
      <c r="D319" s="114"/>
      <c r="E319" s="114"/>
      <c r="F319" s="114"/>
      <c r="G319" s="115"/>
    </row>
    <row r="320" spans="1:7" x14ac:dyDescent="0.25">
      <c r="A320" s="133">
        <v>46184</v>
      </c>
      <c r="B320" s="134" t="s">
        <v>461</v>
      </c>
      <c r="C320" s="79"/>
      <c r="D320" s="79" t="s">
        <v>552</v>
      </c>
      <c r="E320" s="79"/>
      <c r="F320" s="79"/>
      <c r="G320" s="109" t="s">
        <v>554</v>
      </c>
    </row>
    <row r="321" spans="1:7" x14ac:dyDescent="0.25">
      <c r="A321" s="127">
        <v>46184</v>
      </c>
      <c r="B321" s="107" t="s">
        <v>527</v>
      </c>
      <c r="C321" s="81"/>
      <c r="D321" s="81"/>
      <c r="E321" s="81"/>
      <c r="F321" s="81"/>
      <c r="G321" s="111"/>
    </row>
    <row r="322" spans="1:7" ht="15.75" thickBot="1" x14ac:dyDescent="0.3">
      <c r="A322" s="128">
        <v>46184</v>
      </c>
      <c r="B322" s="113" t="s">
        <v>516</v>
      </c>
      <c r="C322" s="114"/>
      <c r="D322" s="114"/>
      <c r="E322" s="114"/>
      <c r="F322" s="114"/>
      <c r="G322" s="115"/>
    </row>
    <row r="323" spans="1:7" x14ac:dyDescent="0.25">
      <c r="A323" s="133">
        <v>46185</v>
      </c>
      <c r="B323" s="134" t="s">
        <v>572</v>
      </c>
      <c r="C323" s="79" t="s">
        <v>575</v>
      </c>
      <c r="D323" s="79"/>
      <c r="E323" s="79"/>
      <c r="F323" s="79" t="s">
        <v>571</v>
      </c>
      <c r="G323" s="109"/>
    </row>
    <row r="324" spans="1:7" x14ac:dyDescent="0.25">
      <c r="A324" s="127">
        <v>46185</v>
      </c>
      <c r="B324" s="107" t="s">
        <v>516</v>
      </c>
      <c r="C324" s="81" t="s">
        <v>577</v>
      </c>
      <c r="D324" s="81"/>
      <c r="E324" s="81"/>
      <c r="F324" s="81" t="s">
        <v>583</v>
      </c>
      <c r="G324" s="111"/>
    </row>
    <row r="325" spans="1:7" x14ac:dyDescent="0.25">
      <c r="A325" s="127">
        <v>46185</v>
      </c>
      <c r="B325" s="107" t="s">
        <v>578</v>
      </c>
      <c r="C325" s="81"/>
      <c r="D325" s="81"/>
      <c r="E325" s="81"/>
      <c r="F325" s="81" t="s">
        <v>584</v>
      </c>
      <c r="G325" s="111"/>
    </row>
    <row r="326" spans="1:7" ht="15.75" thickBot="1" x14ac:dyDescent="0.3">
      <c r="A326" s="128">
        <v>46185</v>
      </c>
      <c r="B326" s="114"/>
      <c r="C326" s="114"/>
      <c r="D326" s="114"/>
      <c r="E326" s="114"/>
      <c r="F326" s="114"/>
      <c r="G326" s="115"/>
    </row>
    <row r="327" spans="1:7" x14ac:dyDescent="0.25">
      <c r="A327" s="108">
        <v>46188</v>
      </c>
      <c r="B327" s="134" t="s">
        <v>600</v>
      </c>
      <c r="C327" s="79" t="s">
        <v>575</v>
      </c>
      <c r="D327" s="79"/>
      <c r="E327" s="79"/>
      <c r="F327" s="134" t="s">
        <v>601</v>
      </c>
      <c r="G327" s="109" t="s">
        <v>598</v>
      </c>
    </row>
    <row r="328" spans="1:7" x14ac:dyDescent="0.25">
      <c r="A328" s="110">
        <v>46188</v>
      </c>
      <c r="B328" s="107" t="s">
        <v>605</v>
      </c>
      <c r="C328" s="107" t="s">
        <v>599</v>
      </c>
      <c r="D328" s="81"/>
      <c r="E328" s="81"/>
      <c r="F328" s="107" t="s">
        <v>584</v>
      </c>
      <c r="G328" s="111" t="s">
        <v>603</v>
      </c>
    </row>
    <row r="329" spans="1:7" ht="15.75" thickBot="1" x14ac:dyDescent="0.3">
      <c r="A329" s="112">
        <v>46188</v>
      </c>
      <c r="B329" s="113" t="s">
        <v>516</v>
      </c>
      <c r="C329" s="114"/>
      <c r="D329" s="114"/>
      <c r="E329" s="114"/>
      <c r="F329" s="113" t="s">
        <v>612</v>
      </c>
      <c r="G329" s="115"/>
    </row>
    <row r="330" spans="1:7" x14ac:dyDescent="0.25">
      <c r="A330" s="133">
        <v>46189</v>
      </c>
      <c r="B330" s="134" t="s">
        <v>516</v>
      </c>
      <c r="C330" s="79" t="s">
        <v>632</v>
      </c>
      <c r="D330" s="79"/>
      <c r="E330" s="79"/>
      <c r="F330" s="134" t="s">
        <v>635</v>
      </c>
      <c r="G330" s="109" t="s">
        <v>633</v>
      </c>
    </row>
    <row r="331" spans="1:7" ht="15.75" thickBot="1" x14ac:dyDescent="0.3">
      <c r="A331" s="128">
        <v>46189</v>
      </c>
      <c r="B331" s="114"/>
      <c r="C331" s="113" t="s">
        <v>644</v>
      </c>
      <c r="D331" s="114"/>
      <c r="E331" s="114"/>
      <c r="F331" s="113" t="s">
        <v>601</v>
      </c>
      <c r="G331" s="115"/>
    </row>
    <row r="332" spans="1:7" x14ac:dyDescent="0.25">
      <c r="A332" s="108">
        <v>46190</v>
      </c>
      <c r="B332" s="79"/>
      <c r="C332" s="134" t="s">
        <v>676</v>
      </c>
      <c r="D332" s="79"/>
      <c r="E332" s="79"/>
      <c r="F332" s="134" t="s">
        <v>635</v>
      </c>
      <c r="G332" s="136" t="s">
        <v>678</v>
      </c>
    </row>
    <row r="333" spans="1:7" x14ac:dyDescent="0.25">
      <c r="A333" s="110">
        <v>46190</v>
      </c>
      <c r="B333" s="81"/>
      <c r="C333" s="81"/>
      <c r="D333" s="81"/>
      <c r="E333" s="81"/>
      <c r="F333" s="107" t="s">
        <v>675</v>
      </c>
      <c r="G333" s="137" t="s">
        <v>679</v>
      </c>
    </row>
    <row r="334" spans="1:7" x14ac:dyDescent="0.25">
      <c r="A334" s="110">
        <v>46190</v>
      </c>
      <c r="B334" s="81"/>
      <c r="C334" s="81"/>
      <c r="D334" s="81"/>
      <c r="E334" s="81"/>
      <c r="F334" s="81"/>
      <c r="G334" s="137" t="s">
        <v>680</v>
      </c>
    </row>
    <row r="335" spans="1:7" ht="15.75" thickBot="1" x14ac:dyDescent="0.3">
      <c r="A335" s="112">
        <v>46190</v>
      </c>
      <c r="B335" s="114"/>
      <c r="C335" s="114"/>
      <c r="D335" s="114"/>
      <c r="E335" s="114"/>
      <c r="F335" s="114"/>
      <c r="G335" s="138" t="s">
        <v>681</v>
      </c>
    </row>
    <row r="336" spans="1:7" ht="15.75" thickBot="1" x14ac:dyDescent="0.3">
      <c r="A336" s="142">
        <v>46191</v>
      </c>
      <c r="B336" s="140"/>
      <c r="C336" s="140" t="s">
        <v>709</v>
      </c>
      <c r="D336" s="140"/>
      <c r="E336" s="140"/>
      <c r="F336" s="140"/>
      <c r="G336" s="141"/>
    </row>
    <row r="337" spans="1:7" x14ac:dyDescent="0.25">
      <c r="A337" s="143">
        <v>46192</v>
      </c>
      <c r="B337" s="79" t="s">
        <v>725</v>
      </c>
      <c r="C337" s="79" t="s">
        <v>732</v>
      </c>
      <c r="D337" s="79"/>
      <c r="E337" s="79"/>
      <c r="F337" s="79"/>
      <c r="G337" s="136" t="s">
        <v>726</v>
      </c>
    </row>
    <row r="338" spans="1:7" x14ac:dyDescent="0.25">
      <c r="A338" s="144">
        <v>46192</v>
      </c>
      <c r="B338" s="81"/>
      <c r="C338" s="81"/>
      <c r="D338" s="81"/>
      <c r="E338" s="81"/>
      <c r="F338" s="81"/>
      <c r="G338" s="137" t="s">
        <v>727</v>
      </c>
    </row>
    <row r="339" spans="1:7" ht="15.75" thickBot="1" x14ac:dyDescent="0.3">
      <c r="A339" s="145">
        <v>46192</v>
      </c>
      <c r="B339" s="114"/>
      <c r="C339" s="114"/>
      <c r="D339" s="114"/>
      <c r="E339" s="114"/>
      <c r="F339" s="114"/>
      <c r="G339" s="138" t="s">
        <v>733</v>
      </c>
    </row>
    <row r="340" spans="1:7" x14ac:dyDescent="0.25">
      <c r="A340" s="133">
        <v>46195</v>
      </c>
      <c r="B340" s="79" t="s">
        <v>750</v>
      </c>
      <c r="C340" s="79" t="s">
        <v>754</v>
      </c>
      <c r="D340" s="79"/>
      <c r="E340" s="79"/>
      <c r="F340" s="79"/>
      <c r="G340" s="136" t="s">
        <v>762</v>
      </c>
    </row>
    <row r="341" spans="1:7" x14ac:dyDescent="0.25">
      <c r="A341" s="127">
        <v>46195</v>
      </c>
      <c r="B341" s="81" t="s">
        <v>751</v>
      </c>
      <c r="C341" s="107" t="s">
        <v>732</v>
      </c>
      <c r="D341" s="81"/>
      <c r="E341" s="81"/>
      <c r="F341" s="81"/>
      <c r="G341" s="111"/>
    </row>
    <row r="342" spans="1:7" x14ac:dyDescent="0.25">
      <c r="A342" s="127">
        <v>46195</v>
      </c>
      <c r="B342" s="107" t="s">
        <v>752</v>
      </c>
      <c r="C342" s="81"/>
      <c r="D342" s="81"/>
      <c r="E342" s="81"/>
      <c r="F342" s="81"/>
      <c r="G342" s="111"/>
    </row>
    <row r="343" spans="1:7" x14ac:dyDescent="0.25">
      <c r="A343" s="127">
        <v>46195</v>
      </c>
      <c r="B343" s="107" t="s">
        <v>763</v>
      </c>
      <c r="C343" s="81"/>
      <c r="D343" s="81"/>
      <c r="E343" s="81"/>
      <c r="F343" s="81"/>
      <c r="G343" s="111"/>
    </row>
    <row r="344" spans="1:7" ht="15.75" thickBot="1" x14ac:dyDescent="0.3">
      <c r="A344" s="128">
        <v>46195</v>
      </c>
      <c r="B344" s="113" t="s">
        <v>725</v>
      </c>
      <c r="C344" s="114"/>
      <c r="D344" s="114"/>
      <c r="E344" s="114"/>
      <c r="F344" s="114"/>
      <c r="G344" s="115"/>
    </row>
    <row r="345" spans="1:7" x14ac:dyDescent="0.25">
      <c r="A345" s="108">
        <v>46196</v>
      </c>
      <c r="B345" s="134" t="s">
        <v>785</v>
      </c>
      <c r="C345" s="79" t="s">
        <v>778</v>
      </c>
      <c r="D345" s="79"/>
      <c r="E345" s="79" t="s">
        <v>780</v>
      </c>
      <c r="F345" s="79" t="s">
        <v>779</v>
      </c>
      <c r="G345" s="109" t="s">
        <v>783</v>
      </c>
    </row>
    <row r="346" spans="1:7" x14ac:dyDescent="0.25">
      <c r="A346" s="110">
        <v>46196</v>
      </c>
      <c r="B346" s="107" t="s">
        <v>239</v>
      </c>
      <c r="C346" s="81" t="s">
        <v>781</v>
      </c>
      <c r="D346" s="81"/>
      <c r="E346" s="81"/>
      <c r="F346" s="81"/>
      <c r="G346" s="111" t="s">
        <v>786</v>
      </c>
    </row>
    <row r="347" spans="1:7" x14ac:dyDescent="0.25">
      <c r="A347" s="110">
        <v>46196</v>
      </c>
      <c r="B347" s="107" t="s">
        <v>789</v>
      </c>
      <c r="C347" s="81" t="s">
        <v>752</v>
      </c>
      <c r="D347" s="81"/>
      <c r="E347" s="81"/>
      <c r="F347" s="81"/>
      <c r="G347" s="111" t="s">
        <v>802</v>
      </c>
    </row>
    <row r="348" spans="1:7" x14ac:dyDescent="0.25">
      <c r="A348" s="110">
        <v>46196</v>
      </c>
      <c r="B348" s="107" t="s">
        <v>791</v>
      </c>
      <c r="C348" s="107" t="s">
        <v>792</v>
      </c>
      <c r="D348" s="81"/>
      <c r="E348" s="81"/>
      <c r="F348" s="81"/>
      <c r="G348" s="137" t="s">
        <v>808</v>
      </c>
    </row>
    <row r="349" spans="1:7" x14ac:dyDescent="0.25">
      <c r="A349" s="110">
        <v>46196</v>
      </c>
      <c r="B349" s="107" t="s">
        <v>795</v>
      </c>
      <c r="C349" s="107" t="s">
        <v>804</v>
      </c>
      <c r="D349" s="81"/>
      <c r="E349" s="81"/>
      <c r="F349" s="81"/>
      <c r="G349" s="111"/>
    </row>
    <row r="350" spans="1:7" ht="15.75" thickBot="1" x14ac:dyDescent="0.3">
      <c r="A350" s="112">
        <v>46196</v>
      </c>
      <c r="B350" s="113" t="s">
        <v>801</v>
      </c>
      <c r="C350" s="114"/>
      <c r="D350" s="114"/>
      <c r="E350" s="114"/>
      <c r="F350" s="114"/>
      <c r="G350" s="115"/>
    </row>
    <row r="351" spans="1:7" x14ac:dyDescent="0.25">
      <c r="A351" s="133">
        <v>46197</v>
      </c>
      <c r="B351" s="134" t="s">
        <v>239</v>
      </c>
      <c r="C351" s="134" t="s">
        <v>840</v>
      </c>
      <c r="D351" s="79"/>
      <c r="E351" s="79" t="s">
        <v>823</v>
      </c>
      <c r="F351" s="79" t="s">
        <v>822</v>
      </c>
      <c r="G351" s="136" t="s">
        <v>808</v>
      </c>
    </row>
    <row r="352" spans="1:7" x14ac:dyDescent="0.25">
      <c r="A352" s="127">
        <v>46197</v>
      </c>
      <c r="B352" s="107" t="s">
        <v>850</v>
      </c>
      <c r="C352" s="107" t="s">
        <v>752</v>
      </c>
      <c r="D352" s="81"/>
      <c r="E352" s="81"/>
      <c r="F352" s="81" t="s">
        <v>826</v>
      </c>
      <c r="G352" s="137" t="s">
        <v>824</v>
      </c>
    </row>
    <row r="353" spans="1:7" x14ac:dyDescent="0.25">
      <c r="A353" s="127">
        <v>46197</v>
      </c>
      <c r="B353" s="81"/>
      <c r="C353" s="81"/>
      <c r="D353" s="81"/>
      <c r="E353" s="81"/>
      <c r="F353" s="81" t="s">
        <v>827</v>
      </c>
      <c r="G353" s="137" t="s">
        <v>839</v>
      </c>
    </row>
    <row r="354" spans="1:7" ht="15.75" thickBot="1" x14ac:dyDescent="0.3">
      <c r="A354" s="128">
        <v>46197</v>
      </c>
      <c r="B354" s="114"/>
      <c r="C354" s="114"/>
      <c r="D354" s="114"/>
      <c r="E354" s="114"/>
      <c r="F354" s="113" t="s">
        <v>841</v>
      </c>
      <c r="G354" s="138"/>
    </row>
    <row r="355" spans="1:7" x14ac:dyDescent="0.25">
      <c r="A355" s="133">
        <v>46198</v>
      </c>
      <c r="B355" s="134" t="s">
        <v>866</v>
      </c>
      <c r="C355" s="79" t="s">
        <v>823</v>
      </c>
      <c r="D355" s="79"/>
      <c r="E355" s="79"/>
      <c r="F355" s="134" t="s">
        <v>826</v>
      </c>
      <c r="G355" s="136" t="s">
        <v>871</v>
      </c>
    </row>
    <row r="356" spans="1:7" x14ac:dyDescent="0.25">
      <c r="A356" s="127">
        <v>46198</v>
      </c>
      <c r="B356" s="107" t="s">
        <v>877</v>
      </c>
      <c r="C356" s="107" t="s">
        <v>868</v>
      </c>
      <c r="D356" s="81"/>
      <c r="E356" s="81"/>
      <c r="F356" s="81"/>
      <c r="G356" s="111"/>
    </row>
    <row r="357" spans="1:7" ht="15.75" thickBot="1" x14ac:dyDescent="0.3">
      <c r="A357" s="128">
        <v>46198</v>
      </c>
      <c r="B357" s="113" t="s">
        <v>878</v>
      </c>
      <c r="C357" s="114"/>
      <c r="D357" s="114"/>
      <c r="E357" s="114"/>
      <c r="F357" s="114"/>
      <c r="G357" s="115"/>
    </row>
    <row r="358" spans="1:7" x14ac:dyDescent="0.25">
      <c r="A358" s="108">
        <v>46199</v>
      </c>
      <c r="B358" s="134" t="s">
        <v>908</v>
      </c>
      <c r="C358" s="79" t="s">
        <v>894</v>
      </c>
      <c r="D358" s="79"/>
      <c r="E358" s="79"/>
      <c r="F358" s="134" t="s">
        <v>903</v>
      </c>
      <c r="G358" s="109"/>
    </row>
    <row r="359" spans="1:7" x14ac:dyDescent="0.25">
      <c r="A359" s="110">
        <v>46199</v>
      </c>
      <c r="B359" s="107" t="s">
        <v>912</v>
      </c>
      <c r="C359" s="107" t="s">
        <v>907</v>
      </c>
      <c r="D359" s="81"/>
      <c r="E359" s="81"/>
      <c r="F359" s="81"/>
      <c r="G359" s="111"/>
    </row>
    <row r="360" spans="1:7" x14ac:dyDescent="0.25">
      <c r="A360" s="110">
        <v>46199</v>
      </c>
      <c r="B360" s="81"/>
      <c r="C360" s="107" t="s">
        <v>910</v>
      </c>
      <c r="D360" s="81"/>
      <c r="E360" s="81"/>
      <c r="F360" s="81"/>
      <c r="G360" s="111"/>
    </row>
    <row r="361" spans="1:7" x14ac:dyDescent="0.25">
      <c r="A361" s="110">
        <v>46199</v>
      </c>
      <c r="B361" s="81"/>
      <c r="C361" s="107" t="s">
        <v>914</v>
      </c>
      <c r="D361" s="81"/>
      <c r="E361" s="81"/>
      <c r="F361" s="81"/>
      <c r="G361" s="111"/>
    </row>
    <row r="362" spans="1:7" ht="15.75" thickBot="1" x14ac:dyDescent="0.3">
      <c r="A362" s="112">
        <v>46199</v>
      </c>
      <c r="B362" s="114"/>
      <c r="C362" s="113" t="s">
        <v>915</v>
      </c>
      <c r="D362" s="114"/>
      <c r="E362" s="114"/>
      <c r="F362" s="114"/>
      <c r="G362" s="115"/>
    </row>
    <row r="363" spans="1:7" x14ac:dyDescent="0.25">
      <c r="A363" s="133">
        <v>46202</v>
      </c>
      <c r="B363" s="79" t="s">
        <v>959</v>
      </c>
      <c r="C363" s="134" t="s">
        <v>934</v>
      </c>
      <c r="D363" s="79"/>
      <c r="E363" s="79" t="s">
        <v>938</v>
      </c>
      <c r="F363" s="79" t="s">
        <v>948</v>
      </c>
      <c r="G363" s="136" t="s">
        <v>981</v>
      </c>
    </row>
    <row r="364" spans="1:7" x14ac:dyDescent="0.25">
      <c r="A364" s="127">
        <v>46202</v>
      </c>
      <c r="B364" s="81" t="s">
        <v>968</v>
      </c>
      <c r="C364" s="107" t="s">
        <v>936</v>
      </c>
      <c r="D364" s="81"/>
      <c r="E364" s="81" t="s">
        <v>939</v>
      </c>
      <c r="F364" s="81" t="s">
        <v>964</v>
      </c>
      <c r="G364" s="137" t="s">
        <v>984</v>
      </c>
    </row>
    <row r="365" spans="1:7" x14ac:dyDescent="0.25">
      <c r="A365" s="127">
        <v>46202</v>
      </c>
      <c r="B365" s="81" t="s">
        <v>877</v>
      </c>
      <c r="C365" s="107" t="s">
        <v>951</v>
      </c>
      <c r="D365" s="81"/>
      <c r="E365" s="81"/>
      <c r="F365" s="81" t="s">
        <v>973</v>
      </c>
      <c r="G365" s="137" t="s">
        <v>985</v>
      </c>
    </row>
    <row r="366" spans="1:7" x14ac:dyDescent="0.25">
      <c r="A366" s="127">
        <v>46202</v>
      </c>
      <c r="B366" s="107" t="s">
        <v>991</v>
      </c>
      <c r="C366" s="107" t="s">
        <v>958</v>
      </c>
      <c r="D366" s="81"/>
      <c r="E366" s="81"/>
      <c r="F366" s="81"/>
      <c r="G366" s="111"/>
    </row>
    <row r="367" spans="1:7" x14ac:dyDescent="0.25">
      <c r="A367" s="127">
        <v>46202</v>
      </c>
      <c r="B367" s="107" t="s">
        <v>986</v>
      </c>
      <c r="C367" s="107" t="s">
        <v>754</v>
      </c>
      <c r="D367" s="81"/>
      <c r="E367" s="81"/>
      <c r="F367" s="81"/>
      <c r="G367" s="111"/>
    </row>
    <row r="368" spans="1:7" ht="15.75" thickBot="1" x14ac:dyDescent="0.3">
      <c r="A368" s="128">
        <v>46202</v>
      </c>
      <c r="B368" s="114"/>
      <c r="C368" s="113" t="s">
        <v>977</v>
      </c>
      <c r="D368" s="114"/>
      <c r="E368" s="114"/>
      <c r="F368" s="114"/>
      <c r="G368" s="115"/>
    </row>
    <row r="369" spans="1:7" x14ac:dyDescent="0.25">
      <c r="A369" s="133">
        <v>46203</v>
      </c>
      <c r="B369" s="134" t="s">
        <v>1007</v>
      </c>
      <c r="C369" s="134" t="s">
        <v>1008</v>
      </c>
      <c r="D369" s="79"/>
      <c r="E369" s="79"/>
      <c r="F369" s="79" t="s">
        <v>1016</v>
      </c>
      <c r="G369" s="109" t="s">
        <v>981</v>
      </c>
    </row>
    <row r="370" spans="1:7" ht="15.75" thickBot="1" x14ac:dyDescent="0.3">
      <c r="A370" s="156">
        <v>46203</v>
      </c>
      <c r="B370" s="83"/>
      <c r="C370" s="157" t="s">
        <v>1011</v>
      </c>
      <c r="D370" s="83"/>
      <c r="E370" s="83"/>
      <c r="F370" s="83"/>
      <c r="G370" s="158" t="s">
        <v>985</v>
      </c>
    </row>
    <row r="371" spans="1:7" x14ac:dyDescent="0.25">
      <c r="A371" s="108">
        <v>46204</v>
      </c>
      <c r="B371" s="134" t="s">
        <v>1035</v>
      </c>
      <c r="C371" s="134" t="s">
        <v>1008</v>
      </c>
      <c r="D371" s="79"/>
      <c r="E371" s="79"/>
      <c r="F371" s="79" t="s">
        <v>1039</v>
      </c>
      <c r="G371" s="109"/>
    </row>
    <row r="372" spans="1:7" x14ac:dyDescent="0.25">
      <c r="A372" s="110">
        <v>46204</v>
      </c>
      <c r="B372" s="107" t="s">
        <v>1037</v>
      </c>
      <c r="C372" s="107" t="s">
        <v>1032</v>
      </c>
      <c r="D372" s="81"/>
      <c r="E372" s="81"/>
      <c r="F372" s="81" t="s">
        <v>1045</v>
      </c>
      <c r="G372" s="111"/>
    </row>
    <row r="373" spans="1:7" x14ac:dyDescent="0.25">
      <c r="A373" s="110">
        <v>46204</v>
      </c>
      <c r="B373" s="107" t="s">
        <v>986</v>
      </c>
      <c r="C373" s="107" t="s">
        <v>1052</v>
      </c>
      <c r="D373" s="81"/>
      <c r="E373" s="81"/>
      <c r="F373" s="81"/>
      <c r="G373" s="111"/>
    </row>
    <row r="374" spans="1:7" x14ac:dyDescent="0.25">
      <c r="A374" s="110">
        <v>46204</v>
      </c>
      <c r="B374" s="107" t="s">
        <v>1040</v>
      </c>
      <c r="C374" s="107" t="s">
        <v>1054</v>
      </c>
      <c r="D374" s="81"/>
      <c r="E374" s="81"/>
      <c r="F374" s="81"/>
      <c r="G374" s="111"/>
    </row>
    <row r="375" spans="1:7" x14ac:dyDescent="0.25">
      <c r="A375" s="110">
        <v>46204</v>
      </c>
      <c r="B375" s="107" t="s">
        <v>1042</v>
      </c>
      <c r="C375" s="107" t="s">
        <v>1055</v>
      </c>
      <c r="D375" s="81"/>
      <c r="E375" s="81"/>
      <c r="F375" s="81"/>
      <c r="G375" s="111"/>
    </row>
    <row r="376" spans="1:7" x14ac:dyDescent="0.25">
      <c r="A376" s="110">
        <v>46204</v>
      </c>
      <c r="B376" s="107" t="s">
        <v>1043</v>
      </c>
      <c r="C376" s="107" t="s">
        <v>1056</v>
      </c>
      <c r="D376" s="81"/>
      <c r="E376" s="81"/>
      <c r="F376" s="81"/>
      <c r="G376" s="111"/>
    </row>
    <row r="377" spans="1:7" x14ac:dyDescent="0.25">
      <c r="A377" s="110">
        <v>46204</v>
      </c>
      <c r="B377" s="107" t="s">
        <v>1050</v>
      </c>
      <c r="C377" s="107" t="s">
        <v>1058</v>
      </c>
      <c r="D377" s="81"/>
      <c r="E377" s="81"/>
      <c r="F377" s="81"/>
      <c r="G377" s="111"/>
    </row>
    <row r="378" spans="1:7" ht="15.75" thickBot="1" x14ac:dyDescent="0.3">
      <c r="A378" s="112">
        <v>46204</v>
      </c>
      <c r="B378" s="113" t="s">
        <v>1057</v>
      </c>
      <c r="C378" s="114"/>
      <c r="D378" s="114"/>
      <c r="E378" s="114"/>
      <c r="F378" s="114"/>
      <c r="G378" s="115"/>
    </row>
    <row r="379" spans="1:7" x14ac:dyDescent="0.25">
      <c r="A379" s="108">
        <v>46205</v>
      </c>
      <c r="B379" s="134" t="s">
        <v>1076</v>
      </c>
      <c r="C379" s="134" t="s">
        <v>1074</v>
      </c>
      <c r="D379" s="79"/>
      <c r="E379" s="79" t="s">
        <v>1087</v>
      </c>
      <c r="F379" s="79" t="s">
        <v>1075</v>
      </c>
      <c r="G379" s="109" t="s">
        <v>1070</v>
      </c>
    </row>
    <row r="380" spans="1:7" x14ac:dyDescent="0.25">
      <c r="A380" s="110">
        <v>46205</v>
      </c>
      <c r="B380" s="107" t="s">
        <v>1090</v>
      </c>
      <c r="C380" s="107" t="s">
        <v>1088</v>
      </c>
      <c r="D380" s="81"/>
      <c r="E380" s="81"/>
      <c r="F380" s="81" t="s">
        <v>1086</v>
      </c>
      <c r="G380" s="111"/>
    </row>
    <row r="381" spans="1:7" x14ac:dyDescent="0.25">
      <c r="A381" s="110">
        <v>46205</v>
      </c>
      <c r="B381" s="107" t="s">
        <v>1095</v>
      </c>
      <c r="C381" s="107" t="s">
        <v>1093</v>
      </c>
      <c r="D381" s="81"/>
      <c r="E381" s="81"/>
      <c r="F381" s="81"/>
      <c r="G381" s="111"/>
    </row>
    <row r="382" spans="1:7" x14ac:dyDescent="0.25">
      <c r="A382" s="110">
        <v>46205</v>
      </c>
      <c r="B382" s="107" t="s">
        <v>1096</v>
      </c>
      <c r="C382" s="107" t="s">
        <v>1094</v>
      </c>
      <c r="D382" s="81"/>
      <c r="E382" s="81"/>
      <c r="F382" s="81"/>
      <c r="G382" s="111"/>
    </row>
    <row r="383" spans="1:7" ht="15.75" thickBot="1" x14ac:dyDescent="0.3">
      <c r="A383" s="112">
        <v>46205</v>
      </c>
      <c r="B383" s="113" t="s">
        <v>1102</v>
      </c>
      <c r="C383" s="114"/>
      <c r="D383" s="114"/>
      <c r="E383" s="114"/>
      <c r="F383" s="114"/>
      <c r="G383" s="115"/>
    </row>
    <row r="384" spans="1:7" x14ac:dyDescent="0.25">
      <c r="A384" s="133">
        <v>46206</v>
      </c>
      <c r="B384" s="134" t="s">
        <v>1123</v>
      </c>
      <c r="C384" s="134" t="s">
        <v>1122</v>
      </c>
      <c r="D384" s="79"/>
      <c r="E384" s="79"/>
      <c r="F384" s="79" t="s">
        <v>1134</v>
      </c>
      <c r="G384" s="109"/>
    </row>
    <row r="385" spans="1:7" x14ac:dyDescent="0.25">
      <c r="A385" s="127">
        <v>46206</v>
      </c>
      <c r="B385" s="107" t="s">
        <v>1135</v>
      </c>
      <c r="C385" s="107" t="s">
        <v>1126</v>
      </c>
      <c r="D385" s="81"/>
      <c r="E385" s="81"/>
      <c r="F385" s="81" t="s">
        <v>1144</v>
      </c>
      <c r="G385" s="111"/>
    </row>
    <row r="386" spans="1:7" x14ac:dyDescent="0.25">
      <c r="A386" s="127">
        <v>46206</v>
      </c>
      <c r="B386" s="107" t="s">
        <v>1096</v>
      </c>
      <c r="C386" s="107" t="s">
        <v>1127</v>
      </c>
      <c r="D386" s="81"/>
      <c r="E386" s="81"/>
      <c r="F386" s="81" t="s">
        <v>1150</v>
      </c>
      <c r="G386" s="111"/>
    </row>
    <row r="387" spans="1:7" x14ac:dyDescent="0.25">
      <c r="A387" s="127">
        <v>46206</v>
      </c>
      <c r="B387" s="107" t="s">
        <v>1147</v>
      </c>
      <c r="C387" s="107" t="s">
        <v>1032</v>
      </c>
      <c r="D387" s="81"/>
      <c r="E387" s="81"/>
      <c r="F387" s="81"/>
      <c r="G387" s="111"/>
    </row>
    <row r="388" spans="1:7" x14ac:dyDescent="0.25">
      <c r="A388" s="127">
        <v>46206</v>
      </c>
      <c r="B388" s="107" t="s">
        <v>1155</v>
      </c>
      <c r="C388" s="107" t="s">
        <v>939</v>
      </c>
      <c r="D388" s="81"/>
      <c r="E388" s="81"/>
      <c r="F388" s="81"/>
      <c r="G388" s="111"/>
    </row>
    <row r="389" spans="1:7" x14ac:dyDescent="0.25">
      <c r="A389" s="127">
        <v>46206</v>
      </c>
      <c r="B389" s="107" t="s">
        <v>1156</v>
      </c>
      <c r="C389" s="107" t="s">
        <v>1141</v>
      </c>
      <c r="D389" s="81"/>
      <c r="E389" s="81"/>
      <c r="F389" s="81"/>
      <c r="G389" s="111"/>
    </row>
    <row r="390" spans="1:7" x14ac:dyDescent="0.25">
      <c r="A390" s="127">
        <v>46206</v>
      </c>
      <c r="B390" s="81"/>
      <c r="C390" s="107" t="s">
        <v>1142</v>
      </c>
      <c r="D390" s="81"/>
      <c r="E390" s="81"/>
      <c r="F390" s="81"/>
      <c r="G390" s="111"/>
    </row>
    <row r="391" spans="1:7" ht="15.75" thickBot="1" x14ac:dyDescent="0.3">
      <c r="A391" s="128">
        <v>46206</v>
      </c>
      <c r="B391" s="114"/>
      <c r="C391" s="113" t="s">
        <v>1157</v>
      </c>
      <c r="D391" s="114"/>
      <c r="E391" s="114"/>
      <c r="F391" s="114"/>
      <c r="G391" s="115"/>
    </row>
    <row r="392" spans="1:7" x14ac:dyDescent="0.25">
      <c r="A392" s="108">
        <v>46209</v>
      </c>
      <c r="B392" s="134" t="s">
        <v>1156</v>
      </c>
      <c r="C392" s="134" t="s">
        <v>1197</v>
      </c>
      <c r="D392" s="79"/>
      <c r="E392" s="79"/>
      <c r="F392" s="79" t="s">
        <v>1208</v>
      </c>
      <c r="G392" s="109" t="s">
        <v>1198</v>
      </c>
    </row>
    <row r="393" spans="1:7" x14ac:dyDescent="0.25">
      <c r="A393" s="110">
        <v>46209</v>
      </c>
      <c r="B393" s="107" t="s">
        <v>1147</v>
      </c>
      <c r="C393" s="107" t="s">
        <v>1122</v>
      </c>
      <c r="D393" s="81"/>
      <c r="E393" s="81"/>
      <c r="F393" s="81"/>
      <c r="G393" s="111" t="s">
        <v>1213</v>
      </c>
    </row>
    <row r="394" spans="1:7" x14ac:dyDescent="0.25">
      <c r="A394" s="110">
        <v>46209</v>
      </c>
      <c r="B394" s="81"/>
      <c r="C394" s="107" t="s">
        <v>1142</v>
      </c>
      <c r="D394" s="81"/>
      <c r="E394" s="81"/>
      <c r="F394" s="81"/>
      <c r="G394" s="111"/>
    </row>
    <row r="395" spans="1:7" ht="15.75" thickBot="1" x14ac:dyDescent="0.3">
      <c r="A395" s="112">
        <v>46209</v>
      </c>
      <c r="B395" s="114"/>
      <c r="C395" s="113" t="s">
        <v>1212</v>
      </c>
      <c r="D395" s="114"/>
      <c r="E395" s="114"/>
      <c r="F395" s="114"/>
      <c r="G395" s="115"/>
    </row>
    <row r="396" spans="1:7" x14ac:dyDescent="0.25">
      <c r="A396" s="133">
        <v>46210</v>
      </c>
      <c r="B396" s="79" t="s">
        <v>1235</v>
      </c>
      <c r="C396" s="134" t="s">
        <v>1142</v>
      </c>
      <c r="D396" s="79"/>
      <c r="E396" s="79"/>
      <c r="F396" s="79" t="s">
        <v>1232</v>
      </c>
      <c r="G396" s="109" t="s">
        <v>1222</v>
      </c>
    </row>
    <row r="397" spans="1:7" x14ac:dyDescent="0.25">
      <c r="A397" s="127">
        <v>46210</v>
      </c>
      <c r="B397" s="107" t="s">
        <v>1246</v>
      </c>
      <c r="C397" s="107" t="s">
        <v>1227</v>
      </c>
      <c r="D397" s="81"/>
      <c r="E397" s="81"/>
      <c r="F397" s="81" t="s">
        <v>1253</v>
      </c>
      <c r="G397" s="137" t="s">
        <v>1223</v>
      </c>
    </row>
    <row r="398" spans="1:7" x14ac:dyDescent="0.25">
      <c r="A398" s="127">
        <v>46210</v>
      </c>
      <c r="B398" s="107" t="s">
        <v>1262</v>
      </c>
      <c r="C398" s="107" t="s">
        <v>1228</v>
      </c>
      <c r="D398" s="81"/>
      <c r="E398" s="81"/>
      <c r="F398" s="81" t="s">
        <v>1274</v>
      </c>
      <c r="G398" s="137" t="s">
        <v>1225</v>
      </c>
    </row>
    <row r="399" spans="1:7" x14ac:dyDescent="0.25">
      <c r="A399" s="127">
        <v>46210</v>
      </c>
      <c r="B399" s="107" t="s">
        <v>1263</v>
      </c>
      <c r="C399" s="107" t="s">
        <v>1234</v>
      </c>
      <c r="D399" s="81"/>
      <c r="E399" s="81"/>
      <c r="F399" s="81"/>
      <c r="G399" s="137" t="s">
        <v>1230</v>
      </c>
    </row>
    <row r="400" spans="1:7" x14ac:dyDescent="0.25">
      <c r="A400" s="127">
        <v>46210</v>
      </c>
      <c r="B400" s="107" t="s">
        <v>1269</v>
      </c>
      <c r="C400" s="107" t="s">
        <v>1236</v>
      </c>
      <c r="D400" s="81"/>
      <c r="E400" s="81"/>
      <c r="F400" s="81"/>
      <c r="G400" s="137" t="s">
        <v>1237</v>
      </c>
    </row>
    <row r="401" spans="1:7" x14ac:dyDescent="0.25">
      <c r="A401" s="127">
        <v>46210</v>
      </c>
      <c r="B401" s="107" t="s">
        <v>1278</v>
      </c>
      <c r="C401" s="107" t="s">
        <v>1240</v>
      </c>
      <c r="D401" s="81"/>
      <c r="E401" s="81"/>
      <c r="F401" s="81"/>
      <c r="G401" s="137" t="s">
        <v>1239</v>
      </c>
    </row>
    <row r="402" spans="1:7" x14ac:dyDescent="0.25">
      <c r="A402" s="127">
        <v>46210</v>
      </c>
      <c r="B402" s="81"/>
      <c r="C402" s="107" t="s">
        <v>1245</v>
      </c>
      <c r="D402" s="81"/>
      <c r="E402" s="81"/>
      <c r="F402" s="81"/>
      <c r="G402" s="137" t="s">
        <v>1213</v>
      </c>
    </row>
    <row r="403" spans="1:7" x14ac:dyDescent="0.25">
      <c r="A403" s="127">
        <v>46210</v>
      </c>
      <c r="B403" s="81"/>
      <c r="C403" s="107" t="s">
        <v>1279</v>
      </c>
      <c r="D403" s="81"/>
      <c r="E403" s="81"/>
      <c r="F403" s="81"/>
      <c r="G403" s="137" t="s">
        <v>1258</v>
      </c>
    </row>
    <row r="404" spans="1:7" x14ac:dyDescent="0.25">
      <c r="A404" s="127">
        <v>46210</v>
      </c>
      <c r="B404" s="81"/>
      <c r="C404" s="107" t="s">
        <v>1254</v>
      </c>
      <c r="D404" s="81"/>
      <c r="E404" s="81"/>
      <c r="F404" s="81"/>
      <c r="G404" s="111"/>
    </row>
    <row r="405" spans="1:7" x14ac:dyDescent="0.25">
      <c r="A405" s="127">
        <v>46210</v>
      </c>
      <c r="B405" s="81"/>
      <c r="C405" s="107" t="s">
        <v>1255</v>
      </c>
      <c r="D405" s="81"/>
      <c r="E405" s="81"/>
      <c r="F405" s="81"/>
      <c r="G405" s="111"/>
    </row>
    <row r="406" spans="1:7" x14ac:dyDescent="0.25">
      <c r="A406" s="127">
        <v>46210</v>
      </c>
      <c r="B406" s="81"/>
      <c r="C406" s="107" t="s">
        <v>1273</v>
      </c>
      <c r="D406" s="81"/>
      <c r="E406" s="81"/>
      <c r="F406" s="81"/>
      <c r="G406" s="111"/>
    </row>
    <row r="407" spans="1:7" x14ac:dyDescent="0.25">
      <c r="A407" s="127">
        <v>46210</v>
      </c>
      <c r="B407" s="81"/>
      <c r="C407" s="107" t="s">
        <v>1275</v>
      </c>
      <c r="D407" s="81"/>
      <c r="E407" s="81"/>
      <c r="F407" s="81"/>
      <c r="G407" s="111"/>
    </row>
    <row r="408" spans="1:7" ht="15.75" thickBot="1" x14ac:dyDescent="0.3">
      <c r="A408" s="156">
        <v>46210</v>
      </c>
      <c r="B408" s="83"/>
      <c r="C408" s="157" t="s">
        <v>1277</v>
      </c>
      <c r="D408" s="83"/>
      <c r="E408" s="83"/>
      <c r="F408" s="83"/>
      <c r="G408" s="158"/>
    </row>
    <row r="409" spans="1:7" x14ac:dyDescent="0.25">
      <c r="A409" s="108">
        <v>46211</v>
      </c>
      <c r="B409" s="79" t="s">
        <v>1297</v>
      </c>
      <c r="C409" s="134" t="s">
        <v>1296</v>
      </c>
      <c r="D409" s="79"/>
      <c r="E409" s="79"/>
      <c r="F409" s="79"/>
      <c r="G409" s="109"/>
    </row>
    <row r="410" spans="1:7" ht="15.75" thickBot="1" x14ac:dyDescent="0.3">
      <c r="A410" s="168"/>
      <c r="B410" s="114"/>
      <c r="C410" s="113" t="s">
        <v>1303</v>
      </c>
      <c r="D410" s="114"/>
      <c r="E410" s="114"/>
      <c r="F410" s="114"/>
      <c r="G410" s="115"/>
    </row>
    <row r="411" spans="1:7" x14ac:dyDescent="0.25">
      <c r="A411" s="166">
        <v>46212</v>
      </c>
      <c r="B411" s="167" t="s">
        <v>1363</v>
      </c>
      <c r="C411" s="167" t="s">
        <v>1362</v>
      </c>
      <c r="D411" s="167"/>
      <c r="E411" s="167"/>
      <c r="F411" s="167"/>
      <c r="G411" s="167" t="s">
        <v>1347</v>
      </c>
    </row>
    <row r="412" spans="1:7" x14ac:dyDescent="0.25">
      <c r="A412" s="144">
        <v>46212</v>
      </c>
      <c r="B412" s="81" t="s">
        <v>1383</v>
      </c>
      <c r="C412" s="81"/>
      <c r="D412" s="81"/>
      <c r="E412" s="81"/>
      <c r="F412" s="81"/>
      <c r="G412" s="81" t="s">
        <v>1348</v>
      </c>
    </row>
    <row r="413" spans="1:7" x14ac:dyDescent="0.25">
      <c r="A413" s="144">
        <v>46212</v>
      </c>
      <c r="B413" s="81" t="s">
        <v>1387</v>
      </c>
      <c r="C413" s="81"/>
      <c r="D413" s="81"/>
      <c r="E413" s="81"/>
      <c r="F413" s="81"/>
      <c r="G413" s="81" t="s">
        <v>1351</v>
      </c>
    </row>
    <row r="414" spans="1:7" x14ac:dyDescent="0.25">
      <c r="A414" s="144">
        <v>46212</v>
      </c>
      <c r="B414" s="81" t="s">
        <v>1388</v>
      </c>
      <c r="C414" s="81"/>
      <c r="D414" s="81"/>
      <c r="E414" s="81"/>
      <c r="F414" s="81"/>
      <c r="G414" s="81" t="s">
        <v>1354</v>
      </c>
    </row>
    <row r="415" spans="1:7" ht="15.75" thickBot="1" x14ac:dyDescent="0.3">
      <c r="A415" s="172">
        <v>46212</v>
      </c>
      <c r="B415" s="83" t="s">
        <v>1389</v>
      </c>
      <c r="C415" s="83"/>
      <c r="D415" s="83"/>
      <c r="E415" s="83"/>
      <c r="F415" s="83"/>
      <c r="G415" s="83" t="s">
        <v>1386</v>
      </c>
    </row>
    <row r="416" spans="1:7" x14ac:dyDescent="0.25">
      <c r="A416" s="143">
        <v>46213</v>
      </c>
      <c r="B416" s="79" t="s">
        <v>1417</v>
      </c>
      <c r="C416" s="79" t="s">
        <v>1410</v>
      </c>
      <c r="D416" s="79"/>
      <c r="E416" s="79"/>
      <c r="F416" s="79" t="s">
        <v>1414</v>
      </c>
      <c r="G416" s="79"/>
    </row>
    <row r="417" spans="1:7" x14ac:dyDescent="0.25">
      <c r="A417" s="144">
        <v>46213</v>
      </c>
      <c r="B417" s="81" t="s">
        <v>1432</v>
      </c>
      <c r="C417" s="81" t="s">
        <v>1419</v>
      </c>
      <c r="D417" s="81"/>
      <c r="E417" s="81"/>
      <c r="F417" s="81"/>
      <c r="G417" s="81"/>
    </row>
    <row r="418" spans="1:7" ht="15.75" thickBot="1" x14ac:dyDescent="0.3">
      <c r="A418" s="172">
        <v>46213</v>
      </c>
      <c r="B418" s="83" t="s">
        <v>1433</v>
      </c>
      <c r="C418" s="83"/>
      <c r="D418" s="83"/>
      <c r="E418" s="83"/>
      <c r="F418" s="83"/>
      <c r="G418" s="83"/>
    </row>
    <row r="419" spans="1:7" x14ac:dyDescent="0.25">
      <c r="A419" s="133">
        <v>46216</v>
      </c>
      <c r="B419" s="134" t="s">
        <v>1477</v>
      </c>
      <c r="C419" s="79" t="s">
        <v>1467</v>
      </c>
      <c r="D419" s="79"/>
      <c r="E419" s="79"/>
      <c r="F419" s="79" t="s">
        <v>1479</v>
      </c>
      <c r="G419" s="109" t="s">
        <v>1466</v>
      </c>
    </row>
    <row r="420" spans="1:7" x14ac:dyDescent="0.25">
      <c r="A420" s="127">
        <v>46216</v>
      </c>
      <c r="B420" s="107" t="s">
        <v>1432</v>
      </c>
      <c r="C420" s="107" t="s">
        <v>1483</v>
      </c>
      <c r="D420" s="81"/>
      <c r="E420" s="81"/>
      <c r="F420" s="81" t="s">
        <v>1480</v>
      </c>
      <c r="G420" s="111" t="s">
        <v>1468</v>
      </c>
    </row>
    <row r="421" spans="1:7" x14ac:dyDescent="0.25">
      <c r="A421" s="127">
        <v>46216</v>
      </c>
      <c r="B421" s="107" t="s">
        <v>1493</v>
      </c>
      <c r="C421" s="107" t="s">
        <v>1509</v>
      </c>
      <c r="D421" s="81"/>
      <c r="E421" s="81"/>
      <c r="F421" s="107" t="s">
        <v>1502</v>
      </c>
      <c r="G421" s="111" t="s">
        <v>1470</v>
      </c>
    </row>
    <row r="422" spans="1:7" x14ac:dyDescent="0.25">
      <c r="A422" s="127">
        <v>46216</v>
      </c>
      <c r="B422" s="107" t="s">
        <v>1500</v>
      </c>
      <c r="C422" s="81"/>
      <c r="D422" s="81"/>
      <c r="E422" s="81"/>
      <c r="F422" s="81"/>
      <c r="G422" s="137" t="s">
        <v>1484</v>
      </c>
    </row>
    <row r="423" spans="1:7" x14ac:dyDescent="0.25">
      <c r="A423" s="127">
        <v>46216</v>
      </c>
      <c r="B423" s="107" t="s">
        <v>1501</v>
      </c>
      <c r="C423" s="81"/>
      <c r="D423" s="81"/>
      <c r="E423" s="81"/>
      <c r="F423" s="81"/>
      <c r="G423" s="111"/>
    </row>
    <row r="424" spans="1:7" ht="15.75" thickBot="1" x14ac:dyDescent="0.3">
      <c r="A424" s="128">
        <v>46216</v>
      </c>
      <c r="B424" s="113" t="s">
        <v>1269</v>
      </c>
      <c r="C424" s="114"/>
      <c r="D424" s="114"/>
      <c r="E424" s="114"/>
      <c r="F424" s="114"/>
      <c r="G424" s="115"/>
    </row>
    <row r="425" spans="1:7" x14ac:dyDescent="0.25">
      <c r="A425" s="143">
        <v>46217</v>
      </c>
      <c r="B425" s="134" t="s">
        <v>1543</v>
      </c>
      <c r="C425" s="79" t="s">
        <v>1529</v>
      </c>
      <c r="D425" s="79"/>
      <c r="E425" s="79"/>
      <c r="F425" s="79" t="s">
        <v>1531</v>
      </c>
      <c r="G425" s="136" t="s">
        <v>1545</v>
      </c>
    </row>
    <row r="426" spans="1:7" x14ac:dyDescent="0.25">
      <c r="A426" s="144">
        <v>46217</v>
      </c>
      <c r="B426" s="107" t="s">
        <v>1552</v>
      </c>
      <c r="C426" s="81" t="s">
        <v>1530</v>
      </c>
      <c r="D426" s="81"/>
      <c r="E426" s="81"/>
      <c r="F426" s="81" t="s">
        <v>1548</v>
      </c>
      <c r="G426" s="137" t="s">
        <v>1546</v>
      </c>
    </row>
    <row r="427" spans="1:7" x14ac:dyDescent="0.25">
      <c r="A427" s="144">
        <v>46217</v>
      </c>
      <c r="B427" s="107" t="s">
        <v>1556</v>
      </c>
      <c r="C427" s="81" t="s">
        <v>1532</v>
      </c>
      <c r="D427" s="81"/>
      <c r="E427" s="81"/>
      <c r="F427" s="81"/>
      <c r="G427" s="137" t="s">
        <v>1549</v>
      </c>
    </row>
    <row r="428" spans="1:7" x14ac:dyDescent="0.25">
      <c r="A428" s="144">
        <v>46217</v>
      </c>
      <c r="B428" s="81"/>
      <c r="C428" s="107" t="s">
        <v>1533</v>
      </c>
      <c r="D428" s="81"/>
      <c r="E428" s="81"/>
      <c r="F428" s="81"/>
      <c r="G428" s="111"/>
    </row>
    <row r="429" spans="1:7" x14ac:dyDescent="0.25">
      <c r="A429" s="144">
        <v>46217</v>
      </c>
      <c r="B429" s="81"/>
      <c r="C429" s="107" t="s">
        <v>1535</v>
      </c>
      <c r="D429" s="81"/>
      <c r="E429" s="81"/>
      <c r="F429" s="81"/>
      <c r="G429" s="111"/>
    </row>
    <row r="430" spans="1:7" x14ac:dyDescent="0.25">
      <c r="A430" s="144">
        <v>46217</v>
      </c>
      <c r="B430" s="81"/>
      <c r="C430" s="107" t="s">
        <v>1536</v>
      </c>
      <c r="D430" s="81"/>
      <c r="E430" s="81"/>
      <c r="F430" s="81"/>
      <c r="G430" s="111"/>
    </row>
    <row r="431" spans="1:7" x14ac:dyDescent="0.25">
      <c r="A431" s="144">
        <v>46217</v>
      </c>
      <c r="B431" s="81"/>
      <c r="C431" s="107" t="s">
        <v>1542</v>
      </c>
      <c r="D431" s="81"/>
      <c r="E431" s="81"/>
      <c r="F431" s="81"/>
      <c r="G431" s="111"/>
    </row>
    <row r="432" spans="1:7" ht="15.75" thickBot="1" x14ac:dyDescent="0.3">
      <c r="A432" s="145">
        <v>46217</v>
      </c>
      <c r="B432" s="114"/>
      <c r="C432" s="113" t="s">
        <v>1554</v>
      </c>
      <c r="D432" s="114"/>
      <c r="E432" s="114"/>
      <c r="F432" s="114"/>
      <c r="G432" s="115"/>
    </row>
    <row r="433" spans="1:7" x14ac:dyDescent="0.25">
      <c r="A433" s="133">
        <v>46218</v>
      </c>
      <c r="B433" s="79" t="s">
        <v>1583</v>
      </c>
      <c r="C433" s="134" t="s">
        <v>1582</v>
      </c>
      <c r="D433" s="79"/>
      <c r="E433" s="79"/>
      <c r="F433" s="79" t="s">
        <v>1585</v>
      </c>
      <c r="G433" s="136" t="s">
        <v>1591</v>
      </c>
    </row>
    <row r="434" spans="1:7" x14ac:dyDescent="0.25">
      <c r="A434" s="127">
        <v>46218</v>
      </c>
      <c r="B434" s="81" t="s">
        <v>1552</v>
      </c>
      <c r="C434" s="107" t="s">
        <v>1588</v>
      </c>
      <c r="D434" s="81"/>
      <c r="E434" s="81"/>
      <c r="F434" s="81" t="s">
        <v>1586</v>
      </c>
      <c r="G434" s="137" t="s">
        <v>1607</v>
      </c>
    </row>
    <row r="435" spans="1:7" x14ac:dyDescent="0.25">
      <c r="A435" s="127">
        <v>46218</v>
      </c>
      <c r="B435" s="81" t="s">
        <v>1594</v>
      </c>
      <c r="C435" s="107" t="s">
        <v>1590</v>
      </c>
      <c r="D435" s="81"/>
      <c r="E435" s="81"/>
      <c r="F435" s="81" t="s">
        <v>1593</v>
      </c>
      <c r="G435" s="111"/>
    </row>
    <row r="436" spans="1:7" x14ac:dyDescent="0.25">
      <c r="A436" s="127">
        <v>46218</v>
      </c>
      <c r="B436" s="81"/>
      <c r="C436" s="107" t="s">
        <v>1598</v>
      </c>
      <c r="D436" s="81"/>
      <c r="E436" s="81"/>
      <c r="F436" s="81"/>
      <c r="G436" s="111"/>
    </row>
    <row r="437" spans="1:7" x14ac:dyDescent="0.25">
      <c r="A437" s="127">
        <v>46218</v>
      </c>
      <c r="B437" s="81"/>
      <c r="C437" s="107" t="s">
        <v>1600</v>
      </c>
      <c r="D437" s="81"/>
      <c r="E437" s="81"/>
      <c r="F437" s="81"/>
      <c r="G437" s="111"/>
    </row>
    <row r="438" spans="1:7" x14ac:dyDescent="0.25">
      <c r="A438" s="127">
        <v>46218</v>
      </c>
      <c r="B438" s="81"/>
      <c r="C438" s="107" t="s">
        <v>1601</v>
      </c>
      <c r="D438" s="81"/>
      <c r="E438" s="81"/>
      <c r="F438" s="81"/>
      <c r="G438" s="111"/>
    </row>
    <row r="439" spans="1:7" ht="15.75" thickBot="1" x14ac:dyDescent="0.3">
      <c r="A439" s="128">
        <v>46218</v>
      </c>
      <c r="B439" s="114"/>
      <c r="C439" s="113" t="s">
        <v>1602</v>
      </c>
      <c r="D439" s="114"/>
      <c r="E439" s="114"/>
      <c r="F439" s="114"/>
      <c r="G439" s="115"/>
    </row>
    <row r="440" spans="1:7" x14ac:dyDescent="0.25">
      <c r="A440" s="133">
        <v>46219</v>
      </c>
      <c r="B440" s="79" t="s">
        <v>1621</v>
      </c>
      <c r="C440" s="134" t="s">
        <v>1623</v>
      </c>
      <c r="D440" s="79"/>
      <c r="E440" s="79"/>
      <c r="F440" s="79" t="s">
        <v>1639</v>
      </c>
      <c r="G440" s="109" t="s">
        <v>1622</v>
      </c>
    </row>
    <row r="441" spans="1:7" x14ac:dyDescent="0.25">
      <c r="A441" s="127">
        <v>46219</v>
      </c>
      <c r="B441" s="81" t="s">
        <v>1630</v>
      </c>
      <c r="C441" s="107" t="s">
        <v>1626</v>
      </c>
      <c r="D441" s="81"/>
      <c r="E441" s="81"/>
      <c r="F441" s="81"/>
      <c r="G441" s="111" t="s">
        <v>1636</v>
      </c>
    </row>
    <row r="442" spans="1:7" x14ac:dyDescent="0.25">
      <c r="A442" s="127">
        <v>46219</v>
      </c>
      <c r="B442" s="81"/>
      <c r="C442" s="107" t="s">
        <v>1629</v>
      </c>
      <c r="D442" s="81"/>
      <c r="E442" s="81"/>
      <c r="F442" s="81"/>
      <c r="G442" s="111"/>
    </row>
    <row r="443" spans="1:7" ht="15.75" thickBot="1" x14ac:dyDescent="0.3">
      <c r="A443" s="128">
        <v>46219</v>
      </c>
      <c r="B443" s="114"/>
      <c r="C443" s="113" t="s">
        <v>1600</v>
      </c>
      <c r="D443" s="114"/>
      <c r="E443" s="114"/>
      <c r="F443" s="114"/>
      <c r="G443" s="115"/>
    </row>
    <row r="444" spans="1:7" x14ac:dyDescent="0.25">
      <c r="A444" s="133">
        <v>46220</v>
      </c>
      <c r="B444" s="79" t="s">
        <v>1675</v>
      </c>
      <c r="C444" s="134" t="s">
        <v>1662</v>
      </c>
      <c r="D444" s="79"/>
      <c r="E444" s="79"/>
      <c r="F444" s="79" t="s">
        <v>1681</v>
      </c>
      <c r="G444" s="109"/>
    </row>
    <row r="445" spans="1:7" x14ac:dyDescent="0.25">
      <c r="A445" s="127">
        <v>46220</v>
      </c>
      <c r="B445" s="107" t="s">
        <v>1679</v>
      </c>
      <c r="C445" s="107" t="s">
        <v>1674</v>
      </c>
      <c r="D445" s="81"/>
      <c r="E445" s="81"/>
      <c r="F445" s="81"/>
      <c r="G445" s="111"/>
    </row>
    <row r="446" spans="1:7" ht="15.75" thickBot="1" x14ac:dyDescent="0.3">
      <c r="A446" s="128">
        <v>46220</v>
      </c>
      <c r="B446" s="114"/>
      <c r="C446" s="113" t="s">
        <v>1678</v>
      </c>
      <c r="D446" s="114"/>
      <c r="E446" s="114"/>
      <c r="F446" s="114"/>
      <c r="G446" s="115"/>
    </row>
    <row r="447" spans="1:7" x14ac:dyDescent="0.25">
      <c r="A447" s="133">
        <v>46223</v>
      </c>
      <c r="B447" s="79"/>
      <c r="C447" s="134" t="s">
        <v>1700</v>
      </c>
      <c r="D447" s="79"/>
      <c r="E447" s="79"/>
      <c r="F447" s="79" t="s">
        <v>1710</v>
      </c>
      <c r="G447" s="109" t="s">
        <v>1703</v>
      </c>
    </row>
    <row r="448" spans="1:7" x14ac:dyDescent="0.25">
      <c r="A448" s="127">
        <v>46223</v>
      </c>
      <c r="B448" s="81"/>
      <c r="C448" s="107" t="s">
        <v>1700</v>
      </c>
      <c r="D448" s="81"/>
      <c r="E448" s="81"/>
      <c r="F448" s="81" t="s">
        <v>1713</v>
      </c>
      <c r="G448" s="111" t="s">
        <v>247</v>
      </c>
    </row>
    <row r="449" spans="1:7" ht="15.75" thickBot="1" x14ac:dyDescent="0.3">
      <c r="A449" s="128">
        <v>46223</v>
      </c>
      <c r="B449" s="114"/>
      <c r="C449" s="113" t="s">
        <v>1711</v>
      </c>
      <c r="D449" s="114"/>
      <c r="E449" s="114"/>
      <c r="F449" s="114"/>
      <c r="G449" s="115"/>
    </row>
    <row r="450" spans="1:7" x14ac:dyDescent="0.25">
      <c r="A450" s="108">
        <v>46224</v>
      </c>
      <c r="B450" s="79" t="s">
        <v>1742</v>
      </c>
      <c r="C450" s="134" t="s">
        <v>1765</v>
      </c>
      <c r="D450" s="79"/>
      <c r="E450" s="79"/>
      <c r="F450" s="79" t="s">
        <v>1740</v>
      </c>
      <c r="G450" s="109" t="s">
        <v>1759</v>
      </c>
    </row>
    <row r="451" spans="1:7" x14ac:dyDescent="0.25">
      <c r="A451" s="110">
        <v>46224</v>
      </c>
      <c r="B451" s="81" t="s">
        <v>1743</v>
      </c>
      <c r="C451" s="81"/>
      <c r="D451" s="81"/>
      <c r="E451" s="81"/>
      <c r="F451" s="107" t="s">
        <v>1761</v>
      </c>
      <c r="G451" s="137" t="s">
        <v>1767</v>
      </c>
    </row>
    <row r="452" spans="1:7" x14ac:dyDescent="0.25">
      <c r="A452" s="110">
        <v>46224</v>
      </c>
      <c r="B452" s="81" t="s">
        <v>1744</v>
      </c>
      <c r="C452" s="81"/>
      <c r="D452" s="81"/>
      <c r="E452" s="81"/>
      <c r="F452" s="107" t="s">
        <v>1771</v>
      </c>
      <c r="G452" s="111"/>
    </row>
    <row r="453" spans="1:7" x14ac:dyDescent="0.25">
      <c r="A453" s="110">
        <v>46224</v>
      </c>
      <c r="B453" s="107" t="s">
        <v>1750</v>
      </c>
      <c r="C453" s="81"/>
      <c r="D453" s="81"/>
      <c r="E453" s="81"/>
      <c r="F453" s="107" t="s">
        <v>1775</v>
      </c>
      <c r="G453" s="111"/>
    </row>
    <row r="454" spans="1:7" ht="15.75" thickBot="1" x14ac:dyDescent="0.3">
      <c r="A454" s="112">
        <v>46224</v>
      </c>
      <c r="B454" s="113" t="s">
        <v>1757</v>
      </c>
      <c r="C454" s="114"/>
      <c r="D454" s="114"/>
      <c r="E454" s="114"/>
      <c r="F454" s="114"/>
      <c r="G454" s="115"/>
    </row>
    <row r="455" spans="1:7" x14ac:dyDescent="0.25">
      <c r="A455" s="133">
        <v>46225</v>
      </c>
      <c r="B455" s="134" t="s">
        <v>1801</v>
      </c>
      <c r="C455" s="79" t="s">
        <v>1805</v>
      </c>
      <c r="D455" s="79"/>
      <c r="E455" s="79"/>
      <c r="F455" s="134" t="s">
        <v>1771</v>
      </c>
      <c r="G455" s="109" t="s">
        <v>1759</v>
      </c>
    </row>
    <row r="456" spans="1:7" ht="15.75" thickBot="1" x14ac:dyDescent="0.3">
      <c r="A456" s="128">
        <v>46225</v>
      </c>
      <c r="B456" s="113" t="s">
        <v>1808</v>
      </c>
      <c r="C456" s="114"/>
      <c r="D456" s="114"/>
      <c r="E456" s="114"/>
      <c r="F456" s="114"/>
      <c r="G456" s="115"/>
    </row>
    <row r="457" spans="1:7" x14ac:dyDescent="0.25">
      <c r="A457" s="133">
        <v>46226</v>
      </c>
      <c r="B457" s="134" t="s">
        <v>1825</v>
      </c>
      <c r="C457" s="79" t="s">
        <v>1828</v>
      </c>
      <c r="D457" s="79"/>
      <c r="E457" s="79"/>
      <c r="F457" s="134" t="s">
        <v>1823</v>
      </c>
      <c r="G457" s="109"/>
    </row>
    <row r="458" spans="1:7" x14ac:dyDescent="0.25">
      <c r="A458" s="127">
        <v>46226</v>
      </c>
      <c r="B458" s="107" t="s">
        <v>1826</v>
      </c>
      <c r="C458" s="81"/>
      <c r="D458" s="81"/>
      <c r="E458" s="81"/>
      <c r="F458" s="81"/>
      <c r="G458" s="111"/>
    </row>
    <row r="459" spans="1:7" ht="15.75" thickBot="1" x14ac:dyDescent="0.3">
      <c r="A459" s="128">
        <v>46226</v>
      </c>
      <c r="B459" s="113" t="s">
        <v>1827</v>
      </c>
      <c r="C459" s="114"/>
      <c r="D459" s="114"/>
      <c r="E459" s="114"/>
      <c r="F459" s="114"/>
      <c r="G459" s="115"/>
    </row>
    <row r="460" spans="1:7" x14ac:dyDescent="0.25">
      <c r="A460" s="133">
        <v>46227</v>
      </c>
      <c r="B460" s="134" t="s">
        <v>1846</v>
      </c>
      <c r="C460" s="79" t="s">
        <v>1853</v>
      </c>
      <c r="D460" s="79"/>
      <c r="E460" s="79"/>
      <c r="F460" s="79" t="s">
        <v>1855</v>
      </c>
      <c r="G460" s="136" t="s">
        <v>1893</v>
      </c>
    </row>
    <row r="461" spans="1:7" x14ac:dyDescent="0.25">
      <c r="A461" s="127">
        <v>46227</v>
      </c>
      <c r="B461" s="107" t="s">
        <v>1847</v>
      </c>
      <c r="C461" s="81" t="s">
        <v>1872</v>
      </c>
      <c r="D461" s="81"/>
      <c r="E461" s="81"/>
      <c r="F461" s="81" t="s">
        <v>1868</v>
      </c>
      <c r="G461" s="137" t="s">
        <v>1903</v>
      </c>
    </row>
    <row r="462" spans="1:7" x14ac:dyDescent="0.25">
      <c r="A462" s="127">
        <v>46227</v>
      </c>
      <c r="B462" s="107" t="s">
        <v>1849</v>
      </c>
      <c r="C462" s="107" t="s">
        <v>1879</v>
      </c>
      <c r="D462" s="81"/>
      <c r="E462" s="81"/>
      <c r="F462" s="107" t="s">
        <v>1876</v>
      </c>
      <c r="G462" s="111"/>
    </row>
    <row r="463" spans="1:7" x14ac:dyDescent="0.25">
      <c r="A463" s="127">
        <v>46227</v>
      </c>
      <c r="B463" s="107" t="s">
        <v>1850</v>
      </c>
      <c r="C463" s="107" t="s">
        <v>1886</v>
      </c>
      <c r="D463" s="81"/>
      <c r="E463" s="81"/>
      <c r="F463" s="107" t="s">
        <v>1892</v>
      </c>
      <c r="G463" s="111"/>
    </row>
    <row r="464" spans="1:7" x14ac:dyDescent="0.25">
      <c r="A464" s="127">
        <v>46227</v>
      </c>
      <c r="B464" s="107" t="s">
        <v>1851</v>
      </c>
      <c r="C464" s="107" t="s">
        <v>1888</v>
      </c>
      <c r="D464" s="81"/>
      <c r="E464" s="81"/>
      <c r="F464" s="107" t="s">
        <v>1914</v>
      </c>
      <c r="G464" s="111"/>
    </row>
    <row r="465" spans="1:7" x14ac:dyDescent="0.25">
      <c r="A465" s="127">
        <v>46227</v>
      </c>
      <c r="B465" s="107" t="s">
        <v>1860</v>
      </c>
      <c r="C465" s="107" t="s">
        <v>1891</v>
      </c>
      <c r="D465" s="81"/>
      <c r="E465" s="81"/>
      <c r="F465" s="107" t="s">
        <v>1915</v>
      </c>
      <c r="G465" s="111"/>
    </row>
    <row r="466" spans="1:7" x14ac:dyDescent="0.25">
      <c r="A466" s="127">
        <v>46227</v>
      </c>
      <c r="B466" s="107" t="s">
        <v>1861</v>
      </c>
      <c r="C466" s="107" t="s">
        <v>1894</v>
      </c>
      <c r="D466" s="81"/>
      <c r="E466" s="81"/>
      <c r="F466" s="81"/>
      <c r="G466" s="111"/>
    </row>
    <row r="467" spans="1:7" x14ac:dyDescent="0.25">
      <c r="A467" s="127">
        <v>46227</v>
      </c>
      <c r="B467" s="107" t="s">
        <v>1865</v>
      </c>
      <c r="C467" s="107" t="s">
        <v>1897</v>
      </c>
      <c r="D467" s="81"/>
      <c r="E467" s="81"/>
      <c r="F467" s="81"/>
      <c r="G467" s="111"/>
    </row>
    <row r="468" spans="1:7" x14ac:dyDescent="0.25">
      <c r="A468" s="127">
        <v>46227</v>
      </c>
      <c r="B468" s="107" t="s">
        <v>1867</v>
      </c>
      <c r="C468" s="107" t="s">
        <v>1899</v>
      </c>
      <c r="D468" s="81"/>
      <c r="E468" s="81"/>
      <c r="F468" s="81"/>
      <c r="G468" s="111"/>
    </row>
    <row r="469" spans="1:7" x14ac:dyDescent="0.25">
      <c r="A469" s="127">
        <v>46227</v>
      </c>
      <c r="B469" s="107" t="s">
        <v>1873</v>
      </c>
      <c r="C469" s="81"/>
      <c r="D469" s="81"/>
      <c r="E469" s="81"/>
      <c r="F469" s="81"/>
      <c r="G469" s="111"/>
    </row>
    <row r="470" spans="1:7" x14ac:dyDescent="0.25">
      <c r="A470" s="127">
        <v>46227</v>
      </c>
      <c r="B470" s="107" t="s">
        <v>1874</v>
      </c>
      <c r="C470" s="81"/>
      <c r="D470" s="81"/>
      <c r="E470" s="81"/>
      <c r="F470" s="81"/>
      <c r="G470" s="111"/>
    </row>
    <row r="471" spans="1:7" x14ac:dyDescent="0.25">
      <c r="A471" s="127">
        <v>46227</v>
      </c>
      <c r="B471" s="107" t="s">
        <v>1877</v>
      </c>
      <c r="C471" s="81"/>
      <c r="D471" s="81"/>
      <c r="E471" s="81"/>
      <c r="F471" s="81"/>
      <c r="G471" s="111"/>
    </row>
    <row r="472" spans="1:7" x14ac:dyDescent="0.25">
      <c r="A472" s="127">
        <v>46227</v>
      </c>
      <c r="B472" s="107" t="s">
        <v>1880</v>
      </c>
      <c r="C472" s="81"/>
      <c r="D472" s="81"/>
      <c r="E472" s="81"/>
      <c r="F472" s="81"/>
      <c r="G472" s="111"/>
    </row>
    <row r="473" spans="1:7" x14ac:dyDescent="0.25">
      <c r="A473" s="127">
        <v>46227</v>
      </c>
      <c r="B473" s="107" t="s">
        <v>1896</v>
      </c>
      <c r="C473" s="81"/>
      <c r="D473" s="81"/>
      <c r="E473" s="81"/>
      <c r="F473" s="81"/>
      <c r="G473" s="111"/>
    </row>
    <row r="474" spans="1:7" x14ac:dyDescent="0.25">
      <c r="A474" s="127">
        <v>46227</v>
      </c>
      <c r="B474" s="107" t="s">
        <v>1900</v>
      </c>
      <c r="C474" s="81"/>
      <c r="D474" s="81"/>
      <c r="E474" s="81"/>
      <c r="F474" s="81"/>
      <c r="G474" s="111"/>
    </row>
    <row r="475" spans="1:7" ht="15.75" thickBot="1" x14ac:dyDescent="0.3">
      <c r="A475" s="128">
        <v>46227</v>
      </c>
      <c r="B475" s="113" t="s">
        <v>1918</v>
      </c>
      <c r="C475" s="114"/>
      <c r="D475" s="114"/>
      <c r="E475" s="114"/>
      <c r="F475" s="114"/>
      <c r="G475" s="115"/>
    </row>
    <row r="476" spans="1:7" x14ac:dyDescent="0.25">
      <c r="A476" s="133">
        <v>46230</v>
      </c>
      <c r="B476" s="134" t="s">
        <v>1941</v>
      </c>
      <c r="C476" s="79" t="s">
        <v>1891</v>
      </c>
      <c r="D476" s="79"/>
      <c r="E476" s="79"/>
      <c r="F476" s="79" t="s">
        <v>1939</v>
      </c>
      <c r="G476" s="109" t="s">
        <v>1940</v>
      </c>
    </row>
    <row r="477" spans="1:7" x14ac:dyDescent="0.25">
      <c r="A477" s="127">
        <v>46230</v>
      </c>
      <c r="B477" s="107" t="s">
        <v>1851</v>
      </c>
      <c r="C477" s="81" t="s">
        <v>1981</v>
      </c>
      <c r="D477" s="81"/>
      <c r="E477" s="81"/>
      <c r="F477" s="81" t="s">
        <v>1943</v>
      </c>
      <c r="G477" s="111" t="s">
        <v>1939</v>
      </c>
    </row>
    <row r="478" spans="1:7" x14ac:dyDescent="0.25">
      <c r="A478" s="127">
        <v>46230</v>
      </c>
      <c r="B478" s="107" t="s">
        <v>1953</v>
      </c>
      <c r="C478" s="81" t="s">
        <v>1984</v>
      </c>
      <c r="D478" s="81"/>
      <c r="E478" s="81"/>
      <c r="F478" s="81" t="s">
        <v>1946</v>
      </c>
      <c r="G478" s="111" t="s">
        <v>1959</v>
      </c>
    </row>
    <row r="479" spans="1:7" x14ac:dyDescent="0.25">
      <c r="A479" s="127">
        <v>46230</v>
      </c>
      <c r="B479" s="107" t="s">
        <v>1954</v>
      </c>
      <c r="C479" s="107" t="s">
        <v>1879</v>
      </c>
      <c r="D479" s="81"/>
      <c r="E479" s="81"/>
      <c r="F479" s="107" t="s">
        <v>1892</v>
      </c>
      <c r="G479" s="137" t="s">
        <v>1962</v>
      </c>
    </row>
    <row r="480" spans="1:7" x14ac:dyDescent="0.25">
      <c r="A480" s="127">
        <v>46230</v>
      </c>
      <c r="B480" s="107" t="s">
        <v>1952</v>
      </c>
      <c r="C480" s="107" t="s">
        <v>2013</v>
      </c>
      <c r="D480" s="81"/>
      <c r="E480" s="81"/>
      <c r="F480" s="107" t="s">
        <v>1958</v>
      </c>
      <c r="G480" s="137" t="s">
        <v>1966</v>
      </c>
    </row>
    <row r="481" spans="1:7" x14ac:dyDescent="0.25">
      <c r="A481" s="127">
        <v>46230</v>
      </c>
      <c r="B481" s="107" t="s">
        <v>1957</v>
      </c>
      <c r="C481" s="107" t="s">
        <v>2019</v>
      </c>
      <c r="D481" s="81"/>
      <c r="E481" s="81"/>
      <c r="F481" s="107" t="s">
        <v>1969</v>
      </c>
      <c r="G481" s="137" t="s">
        <v>1995</v>
      </c>
    </row>
    <row r="482" spans="1:7" x14ac:dyDescent="0.25">
      <c r="A482" s="127">
        <v>46230</v>
      </c>
      <c r="B482" s="107" t="s">
        <v>1963</v>
      </c>
      <c r="C482" s="107" t="s">
        <v>2030</v>
      </c>
      <c r="D482" s="81"/>
      <c r="E482" s="81"/>
      <c r="F482" s="107" t="s">
        <v>1975</v>
      </c>
      <c r="G482" s="137" t="s">
        <v>2010</v>
      </c>
    </row>
    <row r="483" spans="1:7" x14ac:dyDescent="0.25">
      <c r="A483" s="127">
        <v>46230</v>
      </c>
      <c r="B483" s="107" t="s">
        <v>1965</v>
      </c>
      <c r="C483" s="81"/>
      <c r="D483" s="81"/>
      <c r="E483" s="81"/>
      <c r="F483" s="107" t="s">
        <v>2006</v>
      </c>
      <c r="G483" s="137" t="s">
        <v>2023</v>
      </c>
    </row>
    <row r="484" spans="1:7" x14ac:dyDescent="0.25">
      <c r="A484" s="127">
        <v>46230</v>
      </c>
      <c r="B484" s="107" t="s">
        <v>1971</v>
      </c>
      <c r="C484" s="81"/>
      <c r="D484" s="81"/>
      <c r="E484" s="81"/>
      <c r="F484" s="107" t="s">
        <v>2007</v>
      </c>
      <c r="G484" s="137" t="s">
        <v>2033</v>
      </c>
    </row>
    <row r="485" spans="1:7" x14ac:dyDescent="0.25">
      <c r="A485" s="127">
        <v>46230</v>
      </c>
      <c r="B485" s="107" t="s">
        <v>1978</v>
      </c>
      <c r="C485" s="81"/>
      <c r="D485" s="81"/>
      <c r="E485" s="81"/>
      <c r="F485" s="107" t="s">
        <v>2008</v>
      </c>
      <c r="G485" s="111"/>
    </row>
    <row r="486" spans="1:7" x14ac:dyDescent="0.25">
      <c r="A486" s="127">
        <v>46230</v>
      </c>
      <c r="B486" s="107" t="s">
        <v>1980</v>
      </c>
      <c r="C486" s="81"/>
      <c r="D486" s="81"/>
      <c r="E486" s="81"/>
      <c r="F486" s="107" t="s">
        <v>2028</v>
      </c>
      <c r="G486" s="111"/>
    </row>
    <row r="487" spans="1:7" x14ac:dyDescent="0.25">
      <c r="A487" s="127">
        <v>46230</v>
      </c>
      <c r="B487" s="107" t="s">
        <v>1983</v>
      </c>
      <c r="C487" s="81"/>
      <c r="D487" s="81"/>
      <c r="E487" s="81"/>
      <c r="F487" s="107" t="s">
        <v>2031</v>
      </c>
      <c r="G487" s="111"/>
    </row>
    <row r="488" spans="1:7" x14ac:dyDescent="0.25">
      <c r="A488" s="127">
        <v>46230</v>
      </c>
      <c r="B488" s="107" t="s">
        <v>1985</v>
      </c>
      <c r="C488" s="81"/>
      <c r="D488" s="81"/>
      <c r="E488" s="81"/>
      <c r="F488" s="81"/>
      <c r="G488" s="111"/>
    </row>
    <row r="489" spans="1:7" x14ac:dyDescent="0.25">
      <c r="A489" s="127">
        <v>46230</v>
      </c>
      <c r="B489" s="107" t="s">
        <v>1986</v>
      </c>
      <c r="C489" s="81"/>
      <c r="D489" s="81"/>
      <c r="E489" s="81"/>
      <c r="F489" s="81"/>
      <c r="G489" s="111"/>
    </row>
    <row r="490" spans="1:7" x14ac:dyDescent="0.25">
      <c r="A490" s="127">
        <v>46230</v>
      </c>
      <c r="B490" s="107" t="s">
        <v>1991</v>
      </c>
      <c r="C490" s="81"/>
      <c r="D490" s="81"/>
      <c r="E490" s="81"/>
      <c r="F490" s="81"/>
      <c r="G490" s="111"/>
    </row>
    <row r="491" spans="1:7" x14ac:dyDescent="0.25">
      <c r="A491" s="127">
        <v>46230</v>
      </c>
      <c r="B491" s="107" t="s">
        <v>1996</v>
      </c>
      <c r="C491" s="81"/>
      <c r="D491" s="81"/>
      <c r="E491" s="81"/>
      <c r="F491" s="81"/>
      <c r="G491" s="111"/>
    </row>
    <row r="492" spans="1:7" x14ac:dyDescent="0.25">
      <c r="A492" s="127">
        <v>46230</v>
      </c>
      <c r="B492" s="107" t="s">
        <v>1998</v>
      </c>
      <c r="C492" s="81"/>
      <c r="D492" s="81"/>
      <c r="E492" s="81"/>
      <c r="F492" s="81"/>
      <c r="G492" s="111"/>
    </row>
    <row r="493" spans="1:7" x14ac:dyDescent="0.25">
      <c r="A493" s="127">
        <v>46230</v>
      </c>
      <c r="B493" s="107" t="s">
        <v>1999</v>
      </c>
      <c r="C493" s="81"/>
      <c r="D493" s="81"/>
      <c r="E493" s="81"/>
      <c r="F493" s="81"/>
      <c r="G493" s="111"/>
    </row>
    <row r="494" spans="1:7" x14ac:dyDescent="0.25">
      <c r="A494" s="127">
        <v>46230</v>
      </c>
      <c r="B494" s="107" t="s">
        <v>2002</v>
      </c>
      <c r="C494" s="81"/>
      <c r="D494" s="81"/>
      <c r="E494" s="81"/>
      <c r="F494" s="81"/>
      <c r="G494" s="111"/>
    </row>
    <row r="495" spans="1:7" x14ac:dyDescent="0.25">
      <c r="A495" s="127">
        <v>46230</v>
      </c>
      <c r="B495" s="107" t="s">
        <v>2003</v>
      </c>
      <c r="C495" s="81"/>
      <c r="D495" s="81"/>
      <c r="E495" s="81"/>
      <c r="F495" s="81"/>
      <c r="G495" s="111"/>
    </row>
    <row r="496" spans="1:7" x14ac:dyDescent="0.25">
      <c r="A496" s="127">
        <v>46230</v>
      </c>
      <c r="B496" s="107" t="s">
        <v>1849</v>
      </c>
      <c r="C496" s="81"/>
      <c r="D496" s="81"/>
      <c r="E496" s="81"/>
      <c r="F496" s="81"/>
      <c r="G496" s="111"/>
    </row>
    <row r="497" spans="1:7" x14ac:dyDescent="0.25">
      <c r="A497" s="127">
        <v>46230</v>
      </c>
      <c r="B497" s="107" t="s">
        <v>2012</v>
      </c>
      <c r="C497" s="81"/>
      <c r="D497" s="81"/>
      <c r="E497" s="81"/>
      <c r="F497" s="81"/>
      <c r="G497" s="111"/>
    </row>
    <row r="498" spans="1:7" x14ac:dyDescent="0.25">
      <c r="A498" s="127">
        <v>46230</v>
      </c>
      <c r="B498" s="107" t="s">
        <v>2014</v>
      </c>
      <c r="C498" s="81"/>
      <c r="D498" s="81"/>
      <c r="E498" s="81"/>
      <c r="F498" s="81"/>
      <c r="G498" s="111"/>
    </row>
    <row r="499" spans="1:7" x14ac:dyDescent="0.25">
      <c r="A499" s="127">
        <v>46230</v>
      </c>
      <c r="B499" s="107" t="s">
        <v>2017</v>
      </c>
      <c r="C499" s="81"/>
      <c r="D499" s="81"/>
      <c r="E499" s="81"/>
      <c r="F499" s="81"/>
      <c r="G499" s="111"/>
    </row>
    <row r="500" spans="1:7" x14ac:dyDescent="0.25">
      <c r="A500" s="127">
        <v>46230</v>
      </c>
      <c r="B500" s="107" t="s">
        <v>2021</v>
      </c>
      <c r="C500" s="81"/>
      <c r="D500" s="81"/>
      <c r="E500" s="81"/>
      <c r="F500" s="81"/>
      <c r="G500" s="111"/>
    </row>
    <row r="501" spans="1:7" x14ac:dyDescent="0.25">
      <c r="A501" s="127">
        <v>46230</v>
      </c>
      <c r="B501" s="107" t="s">
        <v>2022</v>
      </c>
      <c r="C501" s="81"/>
      <c r="D501" s="81"/>
      <c r="E501" s="81"/>
      <c r="F501" s="81"/>
      <c r="G501" s="111"/>
    </row>
    <row r="502" spans="1:7" x14ac:dyDescent="0.25">
      <c r="A502" s="127">
        <v>46230</v>
      </c>
      <c r="B502" s="107" t="s">
        <v>2025</v>
      </c>
      <c r="C502" s="81"/>
      <c r="D502" s="81"/>
      <c r="E502" s="81"/>
      <c r="F502" s="81"/>
      <c r="G502" s="111"/>
    </row>
    <row r="503" spans="1:7" ht="15.75" thickBot="1" x14ac:dyDescent="0.3">
      <c r="A503" s="128">
        <v>46230</v>
      </c>
      <c r="B503" s="113" t="s">
        <v>2034</v>
      </c>
      <c r="C503" s="114"/>
      <c r="D503" s="114"/>
      <c r="E503" s="114"/>
      <c r="F503" s="114"/>
      <c r="G503" s="115"/>
    </row>
    <row r="504" spans="1:7" x14ac:dyDescent="0.25">
      <c r="A504" s="133">
        <v>46231</v>
      </c>
      <c r="B504" s="134" t="s">
        <v>1996</v>
      </c>
      <c r="C504" s="79" t="s">
        <v>2048</v>
      </c>
      <c r="D504" s="79"/>
      <c r="E504" s="79"/>
      <c r="F504" s="79" t="s">
        <v>2052</v>
      </c>
      <c r="G504" s="136" t="s">
        <v>2072</v>
      </c>
    </row>
    <row r="505" spans="1:7" x14ac:dyDescent="0.25">
      <c r="A505" s="127">
        <v>46231</v>
      </c>
      <c r="B505" s="107" t="s">
        <v>2025</v>
      </c>
      <c r="C505" s="81" t="s">
        <v>2019</v>
      </c>
      <c r="D505" s="81"/>
      <c r="E505" s="81"/>
      <c r="F505" s="81" t="s">
        <v>1958</v>
      </c>
      <c r="G505" s="111"/>
    </row>
    <row r="506" spans="1:7" x14ac:dyDescent="0.25">
      <c r="A506" s="127">
        <v>46231</v>
      </c>
      <c r="B506" s="107" t="s">
        <v>2021</v>
      </c>
      <c r="C506" s="81" t="s">
        <v>1879</v>
      </c>
      <c r="D506" s="81"/>
      <c r="E506" s="81"/>
      <c r="F506" s="81" t="s">
        <v>2073</v>
      </c>
      <c r="G506" s="111"/>
    </row>
    <row r="507" spans="1:7" x14ac:dyDescent="0.25">
      <c r="A507" s="127">
        <v>46231</v>
      </c>
      <c r="B507" s="107" t="s">
        <v>2050</v>
      </c>
      <c r="C507" s="107" t="s">
        <v>2064</v>
      </c>
      <c r="D507" s="81"/>
      <c r="E507" s="81"/>
      <c r="F507" s="107" t="s">
        <v>2075</v>
      </c>
      <c r="G507" s="111"/>
    </row>
    <row r="508" spans="1:7" x14ac:dyDescent="0.25">
      <c r="A508" s="127">
        <v>46231</v>
      </c>
      <c r="B508" s="107" t="s">
        <v>2034</v>
      </c>
      <c r="C508" s="107" t="s">
        <v>2066</v>
      </c>
      <c r="D508" s="81"/>
      <c r="E508" s="81"/>
      <c r="F508" s="107" t="s">
        <v>2078</v>
      </c>
      <c r="G508" s="111"/>
    </row>
    <row r="509" spans="1:7" x14ac:dyDescent="0.25">
      <c r="A509" s="127">
        <v>46231</v>
      </c>
      <c r="B509" s="107" t="s">
        <v>2053</v>
      </c>
      <c r="C509" s="107" t="s">
        <v>2081</v>
      </c>
      <c r="D509" s="81"/>
      <c r="E509" s="81"/>
      <c r="F509" s="107" t="s">
        <v>2080</v>
      </c>
      <c r="G509" s="111"/>
    </row>
    <row r="510" spans="1:7" x14ac:dyDescent="0.25">
      <c r="A510" s="127">
        <v>46231</v>
      </c>
      <c r="B510" s="107" t="s">
        <v>2054</v>
      </c>
      <c r="C510" s="107" t="s">
        <v>1601</v>
      </c>
      <c r="D510" s="81"/>
      <c r="E510" s="81"/>
      <c r="F510" s="81"/>
      <c r="G510" s="111"/>
    </row>
    <row r="511" spans="1:7" x14ac:dyDescent="0.25">
      <c r="A511" s="127">
        <v>46231</v>
      </c>
      <c r="B511" s="107" t="s">
        <v>1851</v>
      </c>
      <c r="C511" s="81"/>
      <c r="D511" s="81"/>
      <c r="E511" s="81"/>
      <c r="F511" s="81"/>
      <c r="G511" s="111"/>
    </row>
    <row r="512" spans="1:7" x14ac:dyDescent="0.25">
      <c r="A512" s="127">
        <v>46231</v>
      </c>
      <c r="B512" s="107" t="s">
        <v>2056</v>
      </c>
      <c r="C512" s="81"/>
      <c r="D512" s="81"/>
      <c r="E512" s="81"/>
      <c r="F512" s="81"/>
      <c r="G512" s="111"/>
    </row>
    <row r="513" spans="1:7" x14ac:dyDescent="0.25">
      <c r="A513" s="127">
        <v>46231</v>
      </c>
      <c r="B513" s="107" t="s">
        <v>2059</v>
      </c>
      <c r="C513" s="81"/>
      <c r="D513" s="81"/>
      <c r="E513" s="81"/>
      <c r="F513" s="81"/>
      <c r="G513" s="111"/>
    </row>
    <row r="514" spans="1:7" x14ac:dyDescent="0.25">
      <c r="A514" s="127">
        <v>46231</v>
      </c>
      <c r="B514" s="107" t="s">
        <v>2060</v>
      </c>
      <c r="C514" s="81"/>
      <c r="D514" s="81"/>
      <c r="E514" s="81"/>
      <c r="F514" s="81"/>
      <c r="G514" s="111"/>
    </row>
    <row r="515" spans="1:7" x14ac:dyDescent="0.25">
      <c r="A515" s="127">
        <v>46231</v>
      </c>
      <c r="B515" s="107" t="s">
        <v>2062</v>
      </c>
      <c r="C515" s="81"/>
      <c r="D515" s="81"/>
      <c r="E515" s="81"/>
      <c r="F515" s="81"/>
      <c r="G515" s="111"/>
    </row>
    <row r="516" spans="1:7" x14ac:dyDescent="0.25">
      <c r="A516" s="127">
        <v>46231</v>
      </c>
      <c r="B516" s="107" t="s">
        <v>2059</v>
      </c>
      <c r="C516" s="81"/>
      <c r="D516" s="81"/>
      <c r="E516" s="81"/>
      <c r="F516" s="81"/>
      <c r="G516" s="111"/>
    </row>
    <row r="517" spans="1:7" ht="15.75" thickBot="1" x14ac:dyDescent="0.3">
      <c r="A517" s="128">
        <v>46231</v>
      </c>
      <c r="B517" s="113" t="s">
        <v>2082</v>
      </c>
      <c r="C517" s="114"/>
      <c r="D517" s="114"/>
      <c r="E517" s="114"/>
      <c r="F517" s="114"/>
      <c r="G517" s="115"/>
    </row>
    <row r="518" spans="1:7" x14ac:dyDescent="0.25">
      <c r="A518" s="133">
        <v>46232</v>
      </c>
      <c r="B518" s="134" t="s">
        <v>2099</v>
      </c>
      <c r="C518" s="79" t="s">
        <v>2048</v>
      </c>
      <c r="D518" s="79"/>
      <c r="E518" s="79"/>
      <c r="F518" s="79"/>
      <c r="G518" s="109"/>
    </row>
    <row r="519" spans="1:7" x14ac:dyDescent="0.25">
      <c r="A519" s="127">
        <v>46232</v>
      </c>
      <c r="B519" s="81" t="s">
        <v>103</v>
      </c>
      <c r="C519" s="81" t="s">
        <v>2103</v>
      </c>
      <c r="D519" s="81"/>
      <c r="E519" s="81"/>
      <c r="F519" s="81"/>
      <c r="G519" s="111"/>
    </row>
    <row r="520" spans="1:7" ht="15.75" thickBot="1" x14ac:dyDescent="0.3">
      <c r="A520" s="128">
        <v>46232</v>
      </c>
      <c r="B520" s="113" t="s">
        <v>2101</v>
      </c>
      <c r="C520" s="114" t="s">
        <v>2110</v>
      </c>
      <c r="D520" s="114"/>
      <c r="E520" s="114"/>
      <c r="F520" s="114"/>
      <c r="G520" s="115"/>
    </row>
    <row r="521" spans="1:7" ht="15.75" thickBot="1" x14ac:dyDescent="0.3">
      <c r="A521" s="142">
        <v>46233</v>
      </c>
      <c r="B521" s="183" t="s">
        <v>2123</v>
      </c>
      <c r="C521" s="183" t="s">
        <v>2126</v>
      </c>
      <c r="D521" s="140"/>
      <c r="E521" s="140"/>
      <c r="F521" s="140"/>
      <c r="G521" s="141"/>
    </row>
    <row r="522" spans="1:7" x14ac:dyDescent="0.25">
      <c r="A522" s="133">
        <v>46234</v>
      </c>
      <c r="B522" s="134" t="s">
        <v>2129</v>
      </c>
      <c r="C522" s="134" t="s">
        <v>2132</v>
      </c>
      <c r="D522" s="79"/>
      <c r="E522" s="79"/>
      <c r="F522" s="79"/>
      <c r="G522" s="109"/>
    </row>
    <row r="523" spans="1:7" x14ac:dyDescent="0.25">
      <c r="A523" s="127">
        <v>46234</v>
      </c>
      <c r="B523" s="81"/>
      <c r="C523" s="107" t="s">
        <v>2133</v>
      </c>
      <c r="D523" s="81"/>
      <c r="E523" s="81"/>
      <c r="F523" s="81"/>
      <c r="G523" s="111"/>
    </row>
    <row r="524" spans="1:7" ht="15.75" thickBot="1" x14ac:dyDescent="0.3">
      <c r="A524" s="128">
        <v>46234</v>
      </c>
      <c r="B524" s="114"/>
      <c r="C524" s="113" t="s">
        <v>2134</v>
      </c>
      <c r="D524" s="114"/>
      <c r="E524" s="114"/>
      <c r="F524" s="114"/>
      <c r="G524" s="115"/>
    </row>
    <row r="525" spans="1:7" x14ac:dyDescent="0.25">
      <c r="A525" s="133">
        <v>46237</v>
      </c>
      <c r="B525" s="134" t="s">
        <v>2138</v>
      </c>
      <c r="C525" s="134" t="s">
        <v>2135</v>
      </c>
      <c r="D525" s="79"/>
      <c r="E525" s="79"/>
      <c r="F525" s="79"/>
      <c r="G525" s="109" t="s">
        <v>2136</v>
      </c>
    </row>
    <row r="526" spans="1:7" x14ac:dyDescent="0.25">
      <c r="A526" s="127">
        <v>46237</v>
      </c>
      <c r="B526" s="81"/>
      <c r="C526" s="107" t="s">
        <v>2139</v>
      </c>
      <c r="D526" s="81"/>
      <c r="E526" s="81"/>
      <c r="F526" s="81"/>
      <c r="G526" s="111"/>
    </row>
    <row r="527" spans="1:7" x14ac:dyDescent="0.25">
      <c r="A527" s="127">
        <v>46237</v>
      </c>
      <c r="B527" s="81"/>
      <c r="C527" s="107" t="s">
        <v>2141</v>
      </c>
      <c r="D527" s="81"/>
      <c r="E527" s="81"/>
      <c r="F527" s="81"/>
      <c r="G527" s="111"/>
    </row>
    <row r="528" spans="1:7" ht="15.75" thickBot="1" x14ac:dyDescent="0.3">
      <c r="A528" s="128">
        <v>46237</v>
      </c>
      <c r="B528" s="114"/>
      <c r="C528" s="113" t="s">
        <v>2142</v>
      </c>
      <c r="D528" s="114"/>
      <c r="E528" s="114"/>
      <c r="F528" s="114"/>
      <c r="G528" s="115"/>
    </row>
    <row r="529" spans="1:7" x14ac:dyDescent="0.25">
      <c r="A529" s="108">
        <v>46239</v>
      </c>
      <c r="B529" s="79"/>
      <c r="C529" s="79"/>
      <c r="D529" s="79"/>
      <c r="E529" s="79"/>
      <c r="F529" s="79"/>
      <c r="G529" s="109" t="s">
        <v>2151</v>
      </c>
    </row>
    <row r="530" spans="1:7" ht="15.75" thickBot="1" x14ac:dyDescent="0.3">
      <c r="A530" s="112">
        <v>46239</v>
      </c>
      <c r="B530" s="114"/>
      <c r="C530" s="114"/>
      <c r="D530" s="114"/>
      <c r="E530" s="114"/>
      <c r="F530" s="114"/>
      <c r="G530" s="115" t="s">
        <v>2136</v>
      </c>
    </row>
    <row r="531" spans="1:7" x14ac:dyDescent="0.25">
      <c r="A531" s="108">
        <v>46240</v>
      </c>
      <c r="B531" s="79" t="s">
        <v>2158</v>
      </c>
      <c r="C531" s="79"/>
      <c r="D531" s="79"/>
      <c r="E531" s="79"/>
      <c r="F531" s="79" t="s">
        <v>2153</v>
      </c>
      <c r="G531" s="109"/>
    </row>
    <row r="532" spans="1:7" x14ac:dyDescent="0.25">
      <c r="A532" s="110">
        <v>46240</v>
      </c>
      <c r="B532" s="81" t="s">
        <v>2159</v>
      </c>
      <c r="C532" s="81"/>
      <c r="D532" s="81"/>
      <c r="E532" s="81"/>
      <c r="F532" s="81" t="s">
        <v>2154</v>
      </c>
      <c r="G532" s="111"/>
    </row>
    <row r="533" spans="1:7" x14ac:dyDescent="0.25">
      <c r="A533" s="110">
        <v>46240</v>
      </c>
      <c r="B533" s="81"/>
      <c r="C533" s="81"/>
      <c r="D533" s="81"/>
      <c r="E533" s="81"/>
      <c r="F533" s="81" t="s">
        <v>2156</v>
      </c>
      <c r="G533" s="111"/>
    </row>
    <row r="534" spans="1:7" x14ac:dyDescent="0.25">
      <c r="A534" s="110">
        <v>46240</v>
      </c>
      <c r="B534" s="81"/>
      <c r="C534" s="81"/>
      <c r="D534" s="81"/>
      <c r="E534" s="81"/>
      <c r="F534" s="107" t="s">
        <v>2157</v>
      </c>
      <c r="G534" s="111"/>
    </row>
    <row r="535" spans="1:7" x14ac:dyDescent="0.25">
      <c r="A535" s="110">
        <v>46240</v>
      </c>
      <c r="B535" s="81"/>
      <c r="C535" s="81"/>
      <c r="D535" s="81"/>
      <c r="E535" s="81"/>
      <c r="F535" s="107" t="s">
        <v>2161</v>
      </c>
      <c r="G535" s="111"/>
    </row>
    <row r="536" spans="1:7" ht="15.75" thickBot="1" x14ac:dyDescent="0.3">
      <c r="A536" s="112">
        <v>46240</v>
      </c>
      <c r="B536" s="114"/>
      <c r="C536" s="114"/>
      <c r="D536" s="114"/>
      <c r="E536" s="114"/>
      <c r="F536" s="113" t="s">
        <v>2154</v>
      </c>
      <c r="G536" s="115"/>
    </row>
    <row r="537" spans="1:7" x14ac:dyDescent="0.25">
      <c r="A537" s="108">
        <v>46255</v>
      </c>
      <c r="B537" s="79" t="s">
        <v>2237</v>
      </c>
      <c r="C537" s="79" t="s">
        <v>2227</v>
      </c>
      <c r="D537" s="79" t="s">
        <v>2235</v>
      </c>
      <c r="E537" s="79"/>
      <c r="F537" s="134" t="s">
        <v>2226</v>
      </c>
      <c r="G537" s="136" t="s">
        <v>2238</v>
      </c>
    </row>
    <row r="538" spans="1:7" x14ac:dyDescent="0.25">
      <c r="A538" s="110">
        <v>46255</v>
      </c>
      <c r="B538" s="81" t="s">
        <v>2249</v>
      </c>
      <c r="C538" s="81" t="s">
        <v>2231</v>
      </c>
      <c r="D538" s="81"/>
      <c r="E538" s="81"/>
      <c r="F538" s="107" t="s">
        <v>2228</v>
      </c>
      <c r="G538" s="111"/>
    </row>
    <row r="539" spans="1:7" x14ac:dyDescent="0.25">
      <c r="A539" s="110">
        <v>46255</v>
      </c>
      <c r="B539" s="81" t="s">
        <v>2256</v>
      </c>
      <c r="C539" s="81" t="s">
        <v>2232</v>
      </c>
      <c r="D539" s="81"/>
      <c r="E539" s="81"/>
      <c r="F539" s="81"/>
      <c r="G539" s="111"/>
    </row>
    <row r="540" spans="1:7" ht="15.75" thickBot="1" x14ac:dyDescent="0.3">
      <c r="A540" s="112">
        <v>46255</v>
      </c>
      <c r="B540" s="114"/>
      <c r="C540" s="113" t="s">
        <v>2253</v>
      </c>
      <c r="D540" s="114"/>
      <c r="E540" s="114"/>
      <c r="F540" s="114"/>
      <c r="G540" s="115"/>
    </row>
    <row r="541" spans="1:7" x14ac:dyDescent="0.25">
      <c r="A541" s="108">
        <v>46258</v>
      </c>
      <c r="B541" s="134" t="s">
        <v>2272</v>
      </c>
      <c r="C541" s="134" t="s">
        <v>2266</v>
      </c>
      <c r="D541" s="79"/>
      <c r="E541" s="79"/>
      <c r="F541" s="134" t="s">
        <v>2267</v>
      </c>
      <c r="G541" s="109" t="s">
        <v>2268</v>
      </c>
    </row>
    <row r="542" spans="1:7" x14ac:dyDescent="0.25">
      <c r="A542" s="110">
        <v>46258</v>
      </c>
      <c r="B542" s="107" t="s">
        <v>2291</v>
      </c>
      <c r="C542" s="107" t="s">
        <v>2269</v>
      </c>
      <c r="D542" s="81"/>
      <c r="E542" s="81"/>
      <c r="F542" s="107" t="s">
        <v>2271</v>
      </c>
      <c r="G542" s="111" t="s">
        <v>2273</v>
      </c>
    </row>
    <row r="543" spans="1:7" x14ac:dyDescent="0.25">
      <c r="A543" s="110">
        <v>46258</v>
      </c>
      <c r="B543" s="107" t="s">
        <v>2293</v>
      </c>
      <c r="C543" s="107" t="s">
        <v>2274</v>
      </c>
      <c r="D543" s="81"/>
      <c r="E543" s="81"/>
      <c r="F543" s="107" t="s">
        <v>2284</v>
      </c>
      <c r="G543" s="111" t="s">
        <v>2287</v>
      </c>
    </row>
    <row r="544" spans="1:7" x14ac:dyDescent="0.25">
      <c r="A544" s="110">
        <v>46258</v>
      </c>
      <c r="B544" s="107" t="s">
        <v>2308</v>
      </c>
      <c r="C544" s="107" t="s">
        <v>2275</v>
      </c>
      <c r="D544" s="81"/>
      <c r="E544" s="81"/>
      <c r="F544" s="107" t="s">
        <v>2290</v>
      </c>
      <c r="G544" s="137" t="s">
        <v>2292</v>
      </c>
    </row>
    <row r="545" spans="1:7" x14ac:dyDescent="0.25">
      <c r="A545" s="110">
        <v>46258</v>
      </c>
      <c r="B545" s="81"/>
      <c r="C545" s="107" t="s">
        <v>2276</v>
      </c>
      <c r="D545" s="81"/>
      <c r="E545" s="81"/>
      <c r="F545" s="81"/>
      <c r="G545" s="137" t="s">
        <v>2294</v>
      </c>
    </row>
    <row r="546" spans="1:7" x14ac:dyDescent="0.25">
      <c r="A546" s="110">
        <v>46258</v>
      </c>
      <c r="B546" s="81"/>
      <c r="C546" s="107" t="s">
        <v>2297</v>
      </c>
      <c r="D546" s="81"/>
      <c r="E546" s="81"/>
      <c r="F546" s="81"/>
      <c r="G546" s="137" t="s">
        <v>2306</v>
      </c>
    </row>
    <row r="547" spans="1:7" ht="15.75" thickBot="1" x14ac:dyDescent="0.3">
      <c r="A547" s="112">
        <v>46258</v>
      </c>
      <c r="B547" s="114"/>
      <c r="C547" s="113" t="s">
        <v>2298</v>
      </c>
      <c r="D547" s="114"/>
      <c r="E547" s="114"/>
      <c r="F547" s="114"/>
      <c r="G547" s="115"/>
    </row>
    <row r="548" spans="1:7" x14ac:dyDescent="0.25">
      <c r="A548" s="108">
        <v>46259</v>
      </c>
      <c r="B548" s="79" t="s">
        <v>2323</v>
      </c>
      <c r="C548" s="134" t="s">
        <v>2325</v>
      </c>
      <c r="D548" s="79"/>
      <c r="E548" s="79"/>
      <c r="F548" s="79" t="s">
        <v>2341</v>
      </c>
      <c r="G548" s="136" t="s">
        <v>2329</v>
      </c>
    </row>
    <row r="549" spans="1:7" x14ac:dyDescent="0.25">
      <c r="A549" s="110">
        <v>46259</v>
      </c>
      <c r="B549" s="81" t="s">
        <v>2330</v>
      </c>
      <c r="C549" s="107" t="s">
        <v>2326</v>
      </c>
      <c r="D549" s="81"/>
      <c r="E549" s="81"/>
      <c r="F549" s="81"/>
      <c r="G549" s="111"/>
    </row>
    <row r="550" spans="1:7" x14ac:dyDescent="0.25">
      <c r="A550" s="110">
        <v>46259</v>
      </c>
      <c r="B550" s="81" t="s">
        <v>2344</v>
      </c>
      <c r="C550" s="107" t="s">
        <v>2328</v>
      </c>
      <c r="D550" s="81"/>
      <c r="E550" s="81"/>
      <c r="F550" s="81"/>
      <c r="G550" s="111"/>
    </row>
    <row r="551" spans="1:7" x14ac:dyDescent="0.25">
      <c r="A551" s="110">
        <v>46259</v>
      </c>
      <c r="B551" s="81"/>
      <c r="C551" s="107" t="s">
        <v>2334</v>
      </c>
      <c r="D551" s="81"/>
      <c r="E551" s="81"/>
      <c r="F551" s="81"/>
      <c r="G551" s="111"/>
    </row>
    <row r="552" spans="1:7" x14ac:dyDescent="0.25">
      <c r="A552" s="110">
        <v>46259</v>
      </c>
      <c r="B552" s="81"/>
      <c r="C552" s="107" t="s">
        <v>2275</v>
      </c>
      <c r="D552" s="81"/>
      <c r="E552" s="81"/>
      <c r="F552" s="81"/>
      <c r="G552" s="111"/>
    </row>
    <row r="553" spans="1:7" ht="15.75" thickBot="1" x14ac:dyDescent="0.3">
      <c r="A553" s="112">
        <v>46259</v>
      </c>
      <c r="B553" s="114"/>
      <c r="C553" s="113" t="s">
        <v>2274</v>
      </c>
      <c r="D553" s="114"/>
      <c r="E553" s="114"/>
      <c r="F553" s="114"/>
      <c r="G553" s="115"/>
    </row>
    <row r="554" spans="1:7" ht="15.75" thickBot="1" x14ac:dyDescent="0.3">
      <c r="A554" s="194">
        <v>46260</v>
      </c>
      <c r="B554" s="140" t="s">
        <v>2363</v>
      </c>
      <c r="C554" s="183" t="s">
        <v>2362</v>
      </c>
      <c r="D554" s="140"/>
      <c r="E554" s="140"/>
      <c r="F554" s="140" t="s">
        <v>2370</v>
      </c>
      <c r="G554" s="141"/>
    </row>
    <row r="555" spans="1:7" x14ac:dyDescent="0.25">
      <c r="A555" s="108">
        <v>46261</v>
      </c>
      <c r="B555" s="79" t="s">
        <v>2382</v>
      </c>
      <c r="C555" s="79"/>
      <c r="D555" s="79"/>
      <c r="E555" s="79"/>
      <c r="F555" s="79" t="s">
        <v>2380</v>
      </c>
      <c r="G555" s="109"/>
    </row>
    <row r="556" spans="1:7" x14ac:dyDescent="0.25">
      <c r="A556" s="110">
        <v>46261</v>
      </c>
      <c r="B556" s="81"/>
      <c r="C556" s="81"/>
      <c r="D556" s="81"/>
      <c r="E556" s="81"/>
      <c r="F556" s="81" t="s">
        <v>2381</v>
      </c>
      <c r="G556" s="111"/>
    </row>
    <row r="557" spans="1:7" x14ac:dyDescent="0.25">
      <c r="A557" s="110">
        <v>46261</v>
      </c>
      <c r="B557" s="81"/>
      <c r="C557" s="81"/>
      <c r="D557" s="81"/>
      <c r="E557" s="81"/>
      <c r="F557" s="107" t="s">
        <v>2384</v>
      </c>
      <c r="G557" s="111"/>
    </row>
    <row r="558" spans="1:7" x14ac:dyDescent="0.25">
      <c r="A558" s="110">
        <v>46261</v>
      </c>
      <c r="B558" s="81"/>
      <c r="C558" s="81"/>
      <c r="D558" s="81"/>
      <c r="E558" s="81"/>
      <c r="F558" s="107" t="s">
        <v>2390</v>
      </c>
      <c r="G558" s="111"/>
    </row>
    <row r="559" spans="1:7" x14ac:dyDescent="0.25">
      <c r="A559" s="110">
        <v>46261</v>
      </c>
      <c r="B559" s="81"/>
      <c r="C559" s="81"/>
      <c r="D559" s="81"/>
      <c r="E559" s="81"/>
      <c r="F559" s="107" t="s">
        <v>2391</v>
      </c>
      <c r="G559" s="111"/>
    </row>
    <row r="560" spans="1:7" ht="15.75" thickBot="1" x14ac:dyDescent="0.3">
      <c r="A560" s="112">
        <v>46261</v>
      </c>
      <c r="B560" s="114"/>
      <c r="C560" s="114"/>
      <c r="D560" s="114"/>
      <c r="E560" s="114"/>
      <c r="F560" s="113" t="s">
        <v>2392</v>
      </c>
      <c r="G560" s="115"/>
    </row>
    <row r="561" spans="1:7" x14ac:dyDescent="0.25">
      <c r="A561" s="108">
        <v>46262</v>
      </c>
      <c r="B561" s="79" t="s">
        <v>2412</v>
      </c>
      <c r="C561" s="79" t="s">
        <v>2413</v>
      </c>
      <c r="D561" s="79"/>
      <c r="E561" s="79"/>
      <c r="F561" s="134" t="s">
        <v>2419</v>
      </c>
      <c r="G561" s="109" t="s">
        <v>2415</v>
      </c>
    </row>
    <row r="562" spans="1:7" x14ac:dyDescent="0.25">
      <c r="A562" s="110">
        <v>46262</v>
      </c>
      <c r="B562" s="81" t="s">
        <v>2414</v>
      </c>
      <c r="C562" s="81" t="s">
        <v>2422</v>
      </c>
      <c r="D562" s="81"/>
      <c r="E562" s="81"/>
      <c r="F562" s="81"/>
      <c r="G562" s="111" t="s">
        <v>2425</v>
      </c>
    </row>
    <row r="563" spans="1:7" x14ac:dyDescent="0.25">
      <c r="A563" s="110">
        <v>46262</v>
      </c>
      <c r="B563" s="81" t="s">
        <v>2431</v>
      </c>
      <c r="C563" s="81" t="s">
        <v>2423</v>
      </c>
      <c r="D563" s="81"/>
      <c r="E563" s="81"/>
      <c r="F563" s="81"/>
      <c r="G563" s="111" t="s">
        <v>2433</v>
      </c>
    </row>
    <row r="564" spans="1:7" x14ac:dyDescent="0.25">
      <c r="A564" s="110">
        <v>46262</v>
      </c>
      <c r="B564" s="81"/>
      <c r="C564" s="107" t="s">
        <v>2426</v>
      </c>
      <c r="D564" s="81"/>
      <c r="E564" s="81"/>
      <c r="F564" s="81"/>
      <c r="G564" s="137" t="s">
        <v>2434</v>
      </c>
    </row>
    <row r="565" spans="1:7" ht="15.75" thickBot="1" x14ac:dyDescent="0.3">
      <c r="A565" s="112">
        <v>46262</v>
      </c>
      <c r="B565" s="114"/>
      <c r="C565" s="113" t="s">
        <v>2428</v>
      </c>
      <c r="D565" s="114"/>
      <c r="E565" s="114"/>
      <c r="F565" s="114"/>
      <c r="G565" s="138" t="s">
        <v>2435</v>
      </c>
    </row>
    <row r="566" spans="1:7" x14ac:dyDescent="0.25">
      <c r="A566" s="195">
        <v>46265</v>
      </c>
      <c r="B566" s="196" t="s">
        <v>2456</v>
      </c>
      <c r="C566" s="196" t="s">
        <v>2467</v>
      </c>
      <c r="D566" s="197" t="s">
        <v>2454</v>
      </c>
      <c r="E566" s="197"/>
      <c r="F566" s="196" t="s">
        <v>2477</v>
      </c>
      <c r="G566" s="198" t="s">
        <v>2464</v>
      </c>
    </row>
    <row r="567" spans="1:7" x14ac:dyDescent="0.25">
      <c r="A567" s="199">
        <v>46265</v>
      </c>
      <c r="B567" s="200" t="s">
        <v>2465</v>
      </c>
      <c r="C567" s="200" t="s">
        <v>2478</v>
      </c>
      <c r="D567" s="201" t="s">
        <v>2455</v>
      </c>
      <c r="E567" s="201"/>
      <c r="F567" s="200" t="s">
        <v>2508</v>
      </c>
      <c r="G567" s="202" t="s">
        <v>2468</v>
      </c>
    </row>
    <row r="568" spans="1:7" x14ac:dyDescent="0.25">
      <c r="A568" s="199">
        <v>46265</v>
      </c>
      <c r="B568" s="200" t="s">
        <v>2475</v>
      </c>
      <c r="C568" s="200" t="s">
        <v>2423</v>
      </c>
      <c r="D568" s="201" t="s">
        <v>2457</v>
      </c>
      <c r="E568" s="201"/>
      <c r="F568" s="200" t="s">
        <v>2510</v>
      </c>
      <c r="G568" s="202" t="s">
        <v>2471</v>
      </c>
    </row>
    <row r="569" spans="1:7" x14ac:dyDescent="0.25">
      <c r="A569" s="199">
        <v>46265</v>
      </c>
      <c r="B569" s="200" t="s">
        <v>2479</v>
      </c>
      <c r="C569" s="200" t="s">
        <v>2501</v>
      </c>
      <c r="D569" s="200" t="s">
        <v>2462</v>
      </c>
      <c r="E569" s="201"/>
      <c r="F569" s="200" t="s">
        <v>2528</v>
      </c>
      <c r="G569" s="202" t="s">
        <v>2495</v>
      </c>
    </row>
    <row r="570" spans="1:7" x14ac:dyDescent="0.25">
      <c r="A570" s="199">
        <v>46265</v>
      </c>
      <c r="B570" s="200" t="s">
        <v>2491</v>
      </c>
      <c r="C570" s="200" t="s">
        <v>2422</v>
      </c>
      <c r="D570" s="200" t="s">
        <v>2470</v>
      </c>
      <c r="E570" s="201"/>
      <c r="F570" s="200" t="s">
        <v>2529</v>
      </c>
      <c r="G570" s="202" t="s">
        <v>2496</v>
      </c>
    </row>
    <row r="571" spans="1:7" x14ac:dyDescent="0.25">
      <c r="A571" s="199">
        <v>46265</v>
      </c>
      <c r="B571" s="200" t="s">
        <v>2499</v>
      </c>
      <c r="C571" s="200" t="s">
        <v>2514</v>
      </c>
      <c r="D571" s="200" t="s">
        <v>2513</v>
      </c>
      <c r="E571" s="201"/>
      <c r="F571" s="201"/>
      <c r="G571" s="202" t="s">
        <v>2497</v>
      </c>
    </row>
    <row r="572" spans="1:7" x14ac:dyDescent="0.25">
      <c r="A572" s="199">
        <v>46265</v>
      </c>
      <c r="B572" s="200" t="s">
        <v>2500</v>
      </c>
      <c r="C572" s="200" t="s">
        <v>2521</v>
      </c>
      <c r="D572" s="201"/>
      <c r="E572" s="201"/>
      <c r="F572" s="201"/>
      <c r="G572" s="203"/>
    </row>
    <row r="573" spans="1:7" ht="15.75" thickBot="1" x14ac:dyDescent="0.3">
      <c r="A573" s="204">
        <v>46265</v>
      </c>
      <c r="B573" s="205" t="s">
        <v>2520</v>
      </c>
      <c r="C573" s="206"/>
      <c r="D573" s="206"/>
      <c r="E573" s="206"/>
      <c r="F573" s="206"/>
      <c r="G573" s="207"/>
    </row>
    <row r="574" spans="1:7" x14ac:dyDescent="0.25">
      <c r="A574" s="211">
        <v>46266</v>
      </c>
      <c r="B574" s="208"/>
      <c r="C574" s="208"/>
      <c r="D574" s="208"/>
      <c r="E574" s="208"/>
      <c r="F574" s="208" t="s">
        <v>2529</v>
      </c>
      <c r="G574" s="209" t="s">
        <v>2555</v>
      </c>
    </row>
    <row r="575" spans="1:7" ht="15.75" thickBot="1" x14ac:dyDescent="0.3">
      <c r="A575" s="212">
        <v>46266</v>
      </c>
      <c r="B575" s="206"/>
      <c r="C575" s="206"/>
      <c r="D575" s="206"/>
      <c r="E575" s="206"/>
      <c r="F575" s="206"/>
      <c r="G575" s="210" t="s">
        <v>2556</v>
      </c>
    </row>
    <row r="576" spans="1:7" x14ac:dyDescent="0.25">
      <c r="A576" s="213">
        <v>46267</v>
      </c>
      <c r="B576" s="214" t="s">
        <v>2578</v>
      </c>
      <c r="C576" s="208" t="s">
        <v>2586</v>
      </c>
      <c r="D576" s="208"/>
      <c r="E576" s="208"/>
      <c r="F576" s="208" t="s">
        <v>2577</v>
      </c>
      <c r="G576" s="209" t="s">
        <v>2584</v>
      </c>
    </row>
    <row r="577" spans="1:7" x14ac:dyDescent="0.25">
      <c r="A577" s="215">
        <v>46267</v>
      </c>
      <c r="B577" s="200" t="s">
        <v>2581</v>
      </c>
      <c r="C577" s="201"/>
      <c r="D577" s="201"/>
      <c r="E577" s="201"/>
      <c r="F577" s="201" t="s">
        <v>2529</v>
      </c>
      <c r="G577" s="203"/>
    </row>
    <row r="578" spans="1:7" ht="15.75" thickBot="1" x14ac:dyDescent="0.3">
      <c r="A578" s="216">
        <v>46267</v>
      </c>
      <c r="B578" s="205" t="s">
        <v>2587</v>
      </c>
      <c r="C578" s="206"/>
      <c r="D578" s="206"/>
      <c r="E578" s="206"/>
      <c r="F578" s="205" t="s">
        <v>2585</v>
      </c>
      <c r="G578" s="207"/>
    </row>
    <row r="579" spans="1:7" x14ac:dyDescent="0.25">
      <c r="A579" s="213">
        <v>46268</v>
      </c>
      <c r="B579" s="214" t="s">
        <v>2615</v>
      </c>
      <c r="C579" s="208" t="s">
        <v>2619</v>
      </c>
      <c r="D579" s="208"/>
      <c r="E579" s="208"/>
      <c r="F579" s="214" t="s">
        <v>2616</v>
      </c>
      <c r="G579" s="209" t="s">
        <v>2627</v>
      </c>
    </row>
    <row r="580" spans="1:7" x14ac:dyDescent="0.25">
      <c r="A580" s="215">
        <v>46268</v>
      </c>
      <c r="B580" s="200" t="s">
        <v>2618</v>
      </c>
      <c r="C580" s="201" t="s">
        <v>2624</v>
      </c>
      <c r="D580" s="201"/>
      <c r="E580" s="201"/>
      <c r="F580" s="200" t="s">
        <v>2625</v>
      </c>
      <c r="G580" s="202" t="s">
        <v>2629</v>
      </c>
    </row>
    <row r="581" spans="1:7" ht="15.75" thickBot="1" x14ac:dyDescent="0.3">
      <c r="A581" s="216">
        <v>46268</v>
      </c>
      <c r="B581" s="206"/>
      <c r="C581" s="206"/>
      <c r="D581" s="206"/>
      <c r="E581" s="206"/>
      <c r="F581" s="206"/>
      <c r="G581" s="210" t="s">
        <v>2631</v>
      </c>
    </row>
    <row r="582" spans="1:7" x14ac:dyDescent="0.25">
      <c r="A582" s="213">
        <v>46269</v>
      </c>
      <c r="B582" s="214" t="s">
        <v>2650</v>
      </c>
      <c r="C582" s="208" t="s">
        <v>2647</v>
      </c>
      <c r="D582" s="208"/>
      <c r="E582" s="208"/>
      <c r="F582" s="214" t="s">
        <v>2648</v>
      </c>
      <c r="G582" s="222"/>
    </row>
    <row r="583" spans="1:7" x14ac:dyDescent="0.25">
      <c r="A583" s="215">
        <v>46269</v>
      </c>
      <c r="B583" s="200" t="s">
        <v>2653</v>
      </c>
      <c r="C583" s="200" t="s">
        <v>2649</v>
      </c>
      <c r="D583" s="201"/>
      <c r="E583" s="201"/>
      <c r="F583" s="200" t="s">
        <v>2665</v>
      </c>
      <c r="G583" s="203"/>
    </row>
    <row r="584" spans="1:7" x14ac:dyDescent="0.25">
      <c r="A584" s="215">
        <v>46269</v>
      </c>
      <c r="B584" s="200" t="s">
        <v>2656</v>
      </c>
      <c r="C584" s="200" t="s">
        <v>2652</v>
      </c>
      <c r="D584" s="201"/>
      <c r="E584" s="201"/>
      <c r="F584" s="200" t="s">
        <v>2674</v>
      </c>
      <c r="G584" s="203"/>
    </row>
    <row r="585" spans="1:7" x14ac:dyDescent="0.25">
      <c r="A585" s="215">
        <v>46269</v>
      </c>
      <c r="B585" s="200" t="s">
        <v>2657</v>
      </c>
      <c r="C585" s="200" t="s">
        <v>2658</v>
      </c>
      <c r="D585" s="201"/>
      <c r="E585" s="201"/>
      <c r="F585" s="200" t="s">
        <v>2699</v>
      </c>
      <c r="G585" s="203"/>
    </row>
    <row r="586" spans="1:7" x14ac:dyDescent="0.25">
      <c r="A586" s="215">
        <v>46269</v>
      </c>
      <c r="B586" s="200" t="s">
        <v>2667</v>
      </c>
      <c r="C586" s="200" t="s">
        <v>2660</v>
      </c>
      <c r="D586" s="201"/>
      <c r="E586" s="201"/>
      <c r="F586" s="201"/>
      <c r="G586" s="203"/>
    </row>
    <row r="587" spans="1:7" x14ac:dyDescent="0.25">
      <c r="A587" s="215">
        <v>46269</v>
      </c>
      <c r="B587" s="200" t="s">
        <v>2668</v>
      </c>
      <c r="C587" s="200" t="s">
        <v>2662</v>
      </c>
      <c r="D587" s="201"/>
      <c r="E587" s="201"/>
      <c r="F587" s="201"/>
      <c r="G587" s="203"/>
    </row>
    <row r="588" spans="1:7" x14ac:dyDescent="0.25">
      <c r="A588" s="215">
        <v>46269</v>
      </c>
      <c r="B588" s="200" t="s">
        <v>2669</v>
      </c>
      <c r="C588" s="200" t="s">
        <v>2686</v>
      </c>
      <c r="D588" s="201"/>
      <c r="E588" s="201"/>
      <c r="F588" s="201"/>
      <c r="G588" s="203"/>
    </row>
    <row r="589" spans="1:7" x14ac:dyDescent="0.25">
      <c r="A589" s="215">
        <v>46269</v>
      </c>
      <c r="B589" s="200" t="s">
        <v>2671</v>
      </c>
      <c r="C589" s="200" t="s">
        <v>2698</v>
      </c>
      <c r="D589" s="201"/>
      <c r="E589" s="201"/>
      <c r="F589" s="201"/>
      <c r="G589" s="203"/>
    </row>
    <row r="590" spans="1:7" x14ac:dyDescent="0.25">
      <c r="A590" s="215">
        <v>46269</v>
      </c>
      <c r="B590" s="200" t="s">
        <v>2673</v>
      </c>
      <c r="C590" s="201"/>
      <c r="D590" s="201"/>
      <c r="E590" s="201"/>
      <c r="F590" s="201"/>
      <c r="G590" s="203"/>
    </row>
    <row r="591" spans="1:7" x14ac:dyDescent="0.25">
      <c r="A591" s="215">
        <v>46269</v>
      </c>
      <c r="B591" s="201" t="s">
        <v>2678</v>
      </c>
      <c r="C591" s="201"/>
      <c r="D591" s="201"/>
      <c r="E591" s="201"/>
      <c r="F591" s="201"/>
      <c r="G591" s="203"/>
    </row>
    <row r="592" spans="1:7" x14ac:dyDescent="0.25">
      <c r="A592" s="215">
        <v>46269</v>
      </c>
      <c r="B592" s="200" t="s">
        <v>2683</v>
      </c>
      <c r="C592" s="201"/>
      <c r="D592" s="201"/>
      <c r="E592" s="201"/>
      <c r="F592" s="201"/>
      <c r="G592" s="203"/>
    </row>
    <row r="593" spans="1:7" ht="15.75" thickBot="1" x14ac:dyDescent="0.3">
      <c r="A593" s="216">
        <v>46269</v>
      </c>
      <c r="B593" s="205" t="s">
        <v>2578</v>
      </c>
      <c r="C593" s="206"/>
      <c r="D593" s="206"/>
      <c r="E593" s="206"/>
      <c r="F593" s="206"/>
      <c r="G593" s="207"/>
    </row>
    <row r="594" spans="1:7" x14ac:dyDescent="0.25">
      <c r="A594" s="228">
        <v>46272</v>
      </c>
      <c r="B594" s="214" t="s">
        <v>2732</v>
      </c>
      <c r="C594" s="208" t="s">
        <v>2759</v>
      </c>
      <c r="D594" s="208"/>
      <c r="E594" s="208"/>
      <c r="F594" s="208" t="s">
        <v>2731</v>
      </c>
      <c r="G594" s="222" t="s">
        <v>2728</v>
      </c>
    </row>
    <row r="595" spans="1:7" x14ac:dyDescent="0.25">
      <c r="A595" s="229">
        <v>46272</v>
      </c>
      <c r="B595" s="200" t="s">
        <v>2740</v>
      </c>
      <c r="C595" s="201" t="s">
        <v>2686</v>
      </c>
      <c r="D595" s="201"/>
      <c r="E595" s="201"/>
      <c r="F595" s="201" t="s">
        <v>2735</v>
      </c>
      <c r="G595" s="203" t="s">
        <v>2736</v>
      </c>
    </row>
    <row r="596" spans="1:7" x14ac:dyDescent="0.25">
      <c r="A596" s="229">
        <v>46272</v>
      </c>
      <c r="B596" s="200" t="s">
        <v>2746</v>
      </c>
      <c r="C596" s="201" t="s">
        <v>2804</v>
      </c>
      <c r="D596" s="201"/>
      <c r="E596" s="201"/>
      <c r="F596" s="201" t="s">
        <v>2751</v>
      </c>
      <c r="G596" s="203" t="s">
        <v>2750</v>
      </c>
    </row>
    <row r="597" spans="1:7" x14ac:dyDescent="0.25">
      <c r="A597" s="229">
        <v>46272</v>
      </c>
      <c r="B597" s="200" t="s">
        <v>2749</v>
      </c>
      <c r="C597" s="200" t="s">
        <v>2805</v>
      </c>
      <c r="D597" s="201"/>
      <c r="E597" s="201"/>
      <c r="F597" s="200" t="s">
        <v>2753</v>
      </c>
      <c r="G597" s="202" t="s">
        <v>2773</v>
      </c>
    </row>
    <row r="598" spans="1:7" x14ac:dyDescent="0.25">
      <c r="A598" s="229">
        <v>46272</v>
      </c>
      <c r="B598" s="200" t="s">
        <v>2754</v>
      </c>
      <c r="C598" s="200" t="s">
        <v>2827</v>
      </c>
      <c r="D598" s="201"/>
      <c r="E598" s="201"/>
      <c r="F598" s="200" t="s">
        <v>2648</v>
      </c>
      <c r="G598" s="202" t="s">
        <v>2808</v>
      </c>
    </row>
    <row r="599" spans="1:7" x14ac:dyDescent="0.25">
      <c r="A599" s="229">
        <v>46272</v>
      </c>
      <c r="B599" s="200" t="s">
        <v>2756</v>
      </c>
      <c r="C599" s="201"/>
      <c r="D599" s="201"/>
      <c r="E599" s="201"/>
      <c r="F599" s="200" t="s">
        <v>2769</v>
      </c>
      <c r="G599" s="202" t="s">
        <v>2825</v>
      </c>
    </row>
    <row r="600" spans="1:7" x14ac:dyDescent="0.25">
      <c r="A600" s="229">
        <v>46272</v>
      </c>
      <c r="B600" s="200" t="s">
        <v>2667</v>
      </c>
      <c r="C600" s="201"/>
      <c r="D600" s="201"/>
      <c r="E600" s="201"/>
      <c r="F600" s="200" t="s">
        <v>2771</v>
      </c>
      <c r="G600" s="203"/>
    </row>
    <row r="601" spans="1:7" x14ac:dyDescent="0.25">
      <c r="A601" s="229">
        <v>46272</v>
      </c>
      <c r="B601" s="200" t="s">
        <v>2770</v>
      </c>
      <c r="C601" s="201"/>
      <c r="D601" s="201"/>
      <c r="E601" s="201"/>
      <c r="F601" s="200" t="s">
        <v>2774</v>
      </c>
      <c r="G601" s="203"/>
    </row>
    <row r="602" spans="1:7" x14ac:dyDescent="0.25">
      <c r="A602" s="229">
        <v>46272</v>
      </c>
      <c r="B602" s="200" t="s">
        <v>2780</v>
      </c>
      <c r="C602" s="201"/>
      <c r="D602" s="201"/>
      <c r="E602" s="201"/>
      <c r="F602" s="200" t="s">
        <v>2795</v>
      </c>
      <c r="G602" s="203"/>
    </row>
    <row r="603" spans="1:7" x14ac:dyDescent="0.25">
      <c r="A603" s="229">
        <v>46272</v>
      </c>
      <c r="B603" s="200" t="s">
        <v>2781</v>
      </c>
      <c r="C603" s="201"/>
      <c r="D603" s="201"/>
      <c r="E603" s="201"/>
      <c r="F603" s="200" t="s">
        <v>2798</v>
      </c>
      <c r="G603" s="203"/>
    </row>
    <row r="604" spans="1:7" x14ac:dyDescent="0.25">
      <c r="A604" s="229">
        <v>46272</v>
      </c>
      <c r="B604" s="200" t="s">
        <v>2782</v>
      </c>
      <c r="C604" s="201"/>
      <c r="D604" s="201"/>
      <c r="E604" s="201"/>
      <c r="F604" s="200" t="s">
        <v>2799</v>
      </c>
      <c r="G604" s="203"/>
    </row>
    <row r="605" spans="1:7" x14ac:dyDescent="0.25">
      <c r="A605" s="229">
        <v>46272</v>
      </c>
      <c r="B605" s="200" t="s">
        <v>2791</v>
      </c>
      <c r="C605" s="201"/>
      <c r="D605" s="201"/>
      <c r="E605" s="201"/>
      <c r="F605" s="200" t="s">
        <v>2810</v>
      </c>
      <c r="G605" s="203"/>
    </row>
    <row r="606" spans="1:7" x14ac:dyDescent="0.25">
      <c r="A606" s="229">
        <v>46272</v>
      </c>
      <c r="B606" s="200" t="s">
        <v>2792</v>
      </c>
      <c r="C606" s="201"/>
      <c r="D606" s="201"/>
      <c r="E606" s="201"/>
      <c r="F606" s="200" t="s">
        <v>2815</v>
      </c>
      <c r="G606" s="203"/>
    </row>
    <row r="607" spans="1:7" x14ac:dyDescent="0.25">
      <c r="A607" s="229">
        <v>46272</v>
      </c>
      <c r="B607" s="200" t="s">
        <v>2793</v>
      </c>
      <c r="C607" s="201"/>
      <c r="D607" s="201"/>
      <c r="E607" s="201"/>
      <c r="F607" s="200" t="s">
        <v>2817</v>
      </c>
      <c r="G607" s="203"/>
    </row>
    <row r="608" spans="1:7" x14ac:dyDescent="0.25">
      <c r="A608" s="229">
        <v>46272</v>
      </c>
      <c r="B608" s="200" t="s">
        <v>2806</v>
      </c>
      <c r="C608" s="201"/>
      <c r="D608" s="201"/>
      <c r="E608" s="201"/>
      <c r="F608" s="200" t="s">
        <v>2820</v>
      </c>
      <c r="G608" s="203"/>
    </row>
    <row r="609" spans="1:7" x14ac:dyDescent="0.25">
      <c r="A609" s="229">
        <v>46272</v>
      </c>
      <c r="B609" s="200" t="s">
        <v>2811</v>
      </c>
      <c r="C609" s="201"/>
      <c r="D609" s="201"/>
      <c r="E609" s="201"/>
      <c r="F609" s="200" t="s">
        <v>2822</v>
      </c>
      <c r="G609" s="203"/>
    </row>
    <row r="610" spans="1:7" x14ac:dyDescent="0.25">
      <c r="A610" s="229">
        <v>46272</v>
      </c>
      <c r="B610" s="200" t="s">
        <v>2814</v>
      </c>
      <c r="C610" s="201"/>
      <c r="D610" s="201"/>
      <c r="E610" s="201"/>
      <c r="F610" s="201"/>
      <c r="G610" s="203"/>
    </row>
    <row r="611" spans="1:7" x14ac:dyDescent="0.25">
      <c r="A611" s="229">
        <v>46272</v>
      </c>
      <c r="B611" s="200" t="s">
        <v>2818</v>
      </c>
      <c r="C611" s="201"/>
      <c r="D611" s="201"/>
      <c r="E611" s="201"/>
      <c r="F611" s="201"/>
      <c r="G611" s="203"/>
    </row>
    <row r="612" spans="1:7" ht="15.75" thickBot="1" x14ac:dyDescent="0.3">
      <c r="A612" s="230">
        <v>46272</v>
      </c>
      <c r="B612" s="205" t="s">
        <v>2668</v>
      </c>
      <c r="C612" s="206"/>
      <c r="D612" s="206"/>
      <c r="E612" s="206"/>
      <c r="F612" s="206"/>
      <c r="G612" s="207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O42"/>
  <sheetViews>
    <sheetView zoomScaleNormal="100" workbookViewId="0">
      <pane ySplit="2" topLeftCell="A18" activePane="bottomLeft" state="frozen"/>
      <selection pane="bottomLeft" activeCell="F8" sqref="F8"/>
    </sheetView>
  </sheetViews>
  <sheetFormatPr defaultColWidth="8.7109375" defaultRowHeight="15" x14ac:dyDescent="0.25"/>
  <cols>
    <col min="1" max="1" width="10" style="1" customWidth="1"/>
    <col min="2" max="2" width="36" style="1" customWidth="1"/>
    <col min="3" max="3" width="12" style="1" customWidth="1"/>
    <col min="4" max="4" width="10" style="1" customWidth="1"/>
    <col min="5" max="5" width="14" style="1" customWidth="1"/>
    <col min="6" max="6" width="10" style="1" customWidth="1"/>
    <col min="9" max="9" width="4" style="1" customWidth="1"/>
    <col min="10" max="10" width="10" style="1" customWidth="1"/>
    <col min="11" max="11" width="32" style="1" customWidth="1"/>
    <col min="12" max="12" width="12" style="1" customWidth="1"/>
    <col min="13" max="14" width="10" style="1" customWidth="1"/>
    <col min="15" max="15" width="11.5703125" style="1" customWidth="1"/>
  </cols>
  <sheetData>
    <row r="1" spans="1:15" ht="27.75" customHeight="1" x14ac:dyDescent="0.25">
      <c r="A1" s="224" t="s">
        <v>368</v>
      </c>
      <c r="B1" s="224"/>
      <c r="C1" s="224"/>
      <c r="D1" s="224"/>
      <c r="E1" s="224"/>
      <c r="F1" s="224"/>
      <c r="G1" s="224"/>
      <c r="H1" s="224"/>
    </row>
    <row r="2" spans="1:15" ht="25.5" customHeight="1" x14ac:dyDescent="0.25">
      <c r="A2" s="2" t="s">
        <v>369</v>
      </c>
      <c r="B2" s="226" t="s">
        <v>370</v>
      </c>
      <c r="C2" s="226"/>
      <c r="D2" s="226"/>
      <c r="E2" s="84" t="s">
        <v>371</v>
      </c>
    </row>
    <row r="3" spans="1:15" ht="25.5" customHeight="1" x14ac:dyDescent="0.25">
      <c r="A3" s="2" t="s">
        <v>372</v>
      </c>
      <c r="B3" s="226" t="s">
        <v>370</v>
      </c>
      <c r="C3" s="226"/>
      <c r="D3" s="226"/>
      <c r="E3" s="84" t="s">
        <v>373</v>
      </c>
    </row>
    <row r="4" spans="1:15" ht="4.5" customHeight="1" x14ac:dyDescent="0.25"/>
    <row r="5" spans="1:15" ht="15" customHeight="1" x14ac:dyDescent="0.25">
      <c r="A5" s="85"/>
      <c r="B5" s="86"/>
      <c r="C5" s="86"/>
      <c r="D5" s="86"/>
      <c r="E5" s="86"/>
      <c r="F5" s="86"/>
      <c r="G5" s="86"/>
      <c r="H5" s="86"/>
      <c r="I5" s="86"/>
    </row>
    <row r="6" spans="1:15" ht="15" customHeight="1" x14ac:dyDescent="0.25">
      <c r="A6" s="3" t="s">
        <v>2</v>
      </c>
      <c r="B6" s="3" t="s">
        <v>52</v>
      </c>
      <c r="C6" s="3" t="s">
        <v>374</v>
      </c>
      <c r="D6" s="3" t="s">
        <v>375</v>
      </c>
      <c r="E6" s="3" t="s">
        <v>376</v>
      </c>
      <c r="F6" s="3" t="s">
        <v>377</v>
      </c>
      <c r="I6" s="6" t="s">
        <v>378</v>
      </c>
      <c r="J6" s="87" t="s">
        <v>2</v>
      </c>
      <c r="K6" s="87" t="s">
        <v>52</v>
      </c>
      <c r="L6" s="87" t="s">
        <v>374</v>
      </c>
      <c r="M6" s="87" t="s">
        <v>375</v>
      </c>
      <c r="N6" s="87" t="s">
        <v>379</v>
      </c>
      <c r="O6" s="88" t="s">
        <v>380</v>
      </c>
    </row>
    <row r="7" spans="1:15" ht="15" customHeight="1" x14ac:dyDescent="0.25">
      <c r="A7" s="12" t="s">
        <v>3</v>
      </c>
      <c r="B7" s="12" t="s">
        <v>53</v>
      </c>
      <c r="C7" s="12">
        <f>SUMPRODUCT(('Posouzení PREFIX'!B6:B205&lt;&gt;"")*('Posouzení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31</v>
      </c>
      <c r="D7" s="89">
        <f>IF(C42&gt;0,C7/C42,0)</f>
        <v>5.719557195571956E-2</v>
      </c>
      <c r="E7" s="89">
        <f>D7</f>
        <v>5.719557195571956E-2</v>
      </c>
      <c r="F7" s="12">
        <f t="shared" ref="F7:F41" si="0">IFERROR(RANK(C7,C$7:C$41,0),"")</f>
        <v>6</v>
      </c>
      <c r="I7" s="90">
        <v>1</v>
      </c>
      <c r="J7" s="90" t="str">
        <f>IFERROR(INDEX(A7:A41,MATCH(LARGE(O7:O41,1),O7:O41,0)),"–")</f>
        <v>KRSK</v>
      </c>
      <c r="K7" s="90" t="str">
        <f>IFERROR(INDEX(B7:B41,MATCH(LARGE(O7:O41,1),O7:O41,0)),"–")</f>
        <v>Kragujevac - skin defect</v>
      </c>
      <c r="L7" s="90">
        <f>IFERROR(INDEX(C7:C41,MATCH(LARGE(O7:O41,1),O7:O41,0)),0)</f>
        <v>167</v>
      </c>
      <c r="M7" s="91">
        <f>IFERROR(L7/C42,0)</f>
        <v>0.3081180811808118</v>
      </c>
      <c r="N7" s="91">
        <f>M7</f>
        <v>0.3081180811808118</v>
      </c>
      <c r="O7" s="92">
        <f t="shared" ref="O7:O41" si="1">C7+(1-ROW()*0.00001)</f>
        <v>31.999929999999999</v>
      </c>
    </row>
    <row r="8" spans="1:15" ht="15" customHeight="1" x14ac:dyDescent="0.25">
      <c r="A8" s="15" t="s">
        <v>4</v>
      </c>
      <c r="B8" s="15" t="s">
        <v>54</v>
      </c>
      <c r="C8" s="15">
        <f>SUMPRODUCT(('Posouzení PREFIX'!C6:C205&lt;&gt;"")*('Posouzení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25</v>
      </c>
      <c r="D8" s="93">
        <f>IF(C42&gt;0,C8/C42,0)</f>
        <v>4.6125461254612546E-2</v>
      </c>
      <c r="E8" s="93">
        <f>SUM($D$7:D8)</f>
        <v>0.10332103321033211</v>
      </c>
      <c r="F8" s="15">
        <f t="shared" si="0"/>
        <v>8</v>
      </c>
      <c r="I8" s="94">
        <v>2</v>
      </c>
      <c r="J8" s="94" t="str">
        <f>IFERROR(INDEX(A7:A41,MATCH(LARGE(O7:O41,2),O7:O41,0)),"–")</f>
        <v>KRSS</v>
      </c>
      <c r="K8" s="94" t="str">
        <f>IFERROR(INDEX(B7:B41,MATCH(LARGE(O7:O41,2),O7:O41,0)),"–")</f>
        <v>Kragujevac - short skin</v>
      </c>
      <c r="L8" s="94">
        <f>IFERROR(INDEX(C7:C41,MATCH(LARGE(O7:O41,2),O7:O41,0)),0)</f>
        <v>112</v>
      </c>
      <c r="M8" s="95">
        <f>IFERROR(L8/C42,0)</f>
        <v>0.20664206642066421</v>
      </c>
      <c r="N8" s="95">
        <f>SUM($M$7:M8)</f>
        <v>0.51476014760147604</v>
      </c>
      <c r="O8" s="92">
        <f t="shared" si="1"/>
        <v>25.999919999999999</v>
      </c>
    </row>
    <row r="9" spans="1:15" ht="15" customHeight="1" x14ac:dyDescent="0.25">
      <c r="A9" s="12" t="s">
        <v>5</v>
      </c>
      <c r="B9" s="12" t="s">
        <v>55</v>
      </c>
      <c r="C9" s="12">
        <f>SUMPRODUCT(('Posouzení PREFIX'!D6:D205&lt;&gt;"")*('Posouzení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9" s="89">
        <f>IF(C42&gt;0,C9/C42,0)</f>
        <v>0</v>
      </c>
      <c r="E9" s="89">
        <f>SUM($D$7:D9)</f>
        <v>0.10332103321033211</v>
      </c>
      <c r="F9" s="12">
        <f t="shared" si="0"/>
        <v>21</v>
      </c>
      <c r="I9" s="90">
        <v>3</v>
      </c>
      <c r="J9" s="90" t="str">
        <f>IFERROR(INDEX(A7:A41,MATCH(LARGE(O7:O41,3),O7:O41,0)),"–")</f>
        <v>SPF</v>
      </c>
      <c r="K9" s="90" t="str">
        <f>IFERROR(INDEX(B7:B41,MATCH(LARGE(O7:O41,3),O7:O41,0)),"–")</f>
        <v>Špatný prefix</v>
      </c>
      <c r="L9" s="90">
        <f>IFERROR(INDEX(C7:C41,MATCH(LARGE(O7:O41,3),O7:O41,0)),0)</f>
        <v>70</v>
      </c>
      <c r="M9" s="91">
        <f>IFERROR(L9/C42,0)</f>
        <v>0.12915129151291513</v>
      </c>
      <c r="N9" s="91">
        <f>SUM($M$7:M9)</f>
        <v>0.64391143911439119</v>
      </c>
      <c r="O9" s="92">
        <f t="shared" si="1"/>
        <v>0.99990999999999997</v>
      </c>
    </row>
    <row r="10" spans="1:15" ht="15" customHeight="1" x14ac:dyDescent="0.25">
      <c r="A10" s="15" t="s">
        <v>6</v>
      </c>
      <c r="B10" s="15" t="s">
        <v>56</v>
      </c>
      <c r="C10" s="15">
        <f>SUMPRODUCT(('Posouzení PREFIX'!E6:E205&lt;&gt;"")*('Posouzení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6</v>
      </c>
      <c r="D10" s="93">
        <f>IF(C42&gt;0,C10/C42,0)</f>
        <v>1.107011070110701E-2</v>
      </c>
      <c r="E10" s="93">
        <f>SUM($D$7:D10)</f>
        <v>0.11439114391143912</v>
      </c>
      <c r="F10" s="15">
        <f t="shared" si="0"/>
        <v>11</v>
      </c>
      <c r="I10" s="94">
        <v>4</v>
      </c>
      <c r="J10" s="94" t="str">
        <f>IFERROR(INDEX(A7:A41,MATCH(LARGE(O7:O41,4),O7:O41,0)),"–")</f>
        <v>KRSW</v>
      </c>
      <c r="K10" s="94" t="str">
        <f>IFERROR(INDEX(B7:B41,MATCH(LARGE(O7:O41,4),O7:O41,0)),"–")</f>
        <v>Kragujevac - sewing</v>
      </c>
      <c r="L10" s="94">
        <f>IFERROR(INDEX(C7:C41,MATCH(LARGE(O7:O41,4),O7:O41,0)),0)</f>
        <v>36</v>
      </c>
      <c r="M10" s="95">
        <f>IFERROR(L10/C42,0)</f>
        <v>6.6420664206642069E-2</v>
      </c>
      <c r="N10" s="95">
        <f>SUM($M$7:M10)</f>
        <v>0.71033210332103325</v>
      </c>
      <c r="O10" s="92">
        <f t="shared" si="1"/>
        <v>6.9999000000000002</v>
      </c>
    </row>
    <row r="11" spans="1:15" ht="15" customHeight="1" x14ac:dyDescent="0.25">
      <c r="A11" s="12" t="s">
        <v>7</v>
      </c>
      <c r="B11" s="12" t="s">
        <v>57</v>
      </c>
      <c r="C11" s="12">
        <f>SUMPRODUCT(('Posouzení PREFIX'!F6:F205&lt;&gt;"")*('Posouzení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28</v>
      </c>
      <c r="D11" s="89">
        <f>IF(C42&gt;0,C11/C42,0)</f>
        <v>5.1660516605166053E-2</v>
      </c>
      <c r="E11" s="89">
        <f>SUM($D$7:D11)</f>
        <v>0.16605166051660517</v>
      </c>
      <c r="F11" s="12">
        <f t="shared" si="0"/>
        <v>7</v>
      </c>
      <c r="I11" s="90">
        <v>5</v>
      </c>
      <c r="J11" s="90" t="str">
        <f>IFERROR(INDEX(A7:A41,MATCH(LARGE(O7:O41,5),O7:O41,0)),"–")</f>
        <v>NRW</v>
      </c>
      <c r="K11" s="90" t="str">
        <f>IFERROR(INDEX(B7:B41,MATCH(LARGE(O7:O41,5),O7:O41,0)),"–")</f>
        <v>NOK rework</v>
      </c>
      <c r="L11" s="90">
        <f>IFERROR(INDEX(C7:C41,MATCH(LARGE(O7:O41,5),O7:O41,0)),0)</f>
        <v>33</v>
      </c>
      <c r="M11" s="91">
        <f>IFERROR(L11/C42,0)</f>
        <v>6.0885608856088562E-2</v>
      </c>
      <c r="N11" s="91">
        <f>SUM($M$7:M11)</f>
        <v>0.77121771217712176</v>
      </c>
      <c r="O11" s="92">
        <f t="shared" si="1"/>
        <v>28.999890000000001</v>
      </c>
    </row>
    <row r="12" spans="1:15" ht="15" customHeight="1" x14ac:dyDescent="0.25">
      <c r="A12" s="15" t="s">
        <v>8</v>
      </c>
      <c r="B12" s="15" t="s">
        <v>58</v>
      </c>
      <c r="C12" s="15">
        <f>SUMPRODUCT(('Posouzení PREFIX'!G6:G205&lt;&gt;"")*('Posouzení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5</v>
      </c>
      <c r="D12" s="93">
        <f>IF(C42&gt;0,C12/C42,0)</f>
        <v>9.2250922509225092E-3</v>
      </c>
      <c r="E12" s="93">
        <f>SUM($D$7:D12)</f>
        <v>0.17527675276752769</v>
      </c>
      <c r="F12" s="15">
        <f t="shared" si="0"/>
        <v>12</v>
      </c>
      <c r="I12" s="94">
        <v>6</v>
      </c>
      <c r="J12" s="94" t="str">
        <f>IFERROR(INDEX(A7:A41,MATCH(LARGE(O7:O41,6),O7:O41,0)),"–")</f>
        <v>SSP2</v>
      </c>
      <c r="K12" s="94" t="str">
        <f>IFERROR(INDEX(B7:B41,MATCH(LARGE(O7:O41,6),O7:O41,0)),"–")</f>
        <v>Spálený spacer</v>
      </c>
      <c r="L12" s="94">
        <f>IFERROR(INDEX(C7:C41,MATCH(LARGE(O7:O41,6),O7:O41,0)),0)</f>
        <v>31</v>
      </c>
      <c r="M12" s="95">
        <f>IFERROR(L12/C42,0)</f>
        <v>5.719557195571956E-2</v>
      </c>
      <c r="N12" s="95">
        <f>SUM($M$7:M12)</f>
        <v>0.82841328413284132</v>
      </c>
      <c r="O12" s="92">
        <f t="shared" si="1"/>
        <v>5.9998800000000001</v>
      </c>
    </row>
    <row r="13" spans="1:15" ht="15" customHeight="1" x14ac:dyDescent="0.25">
      <c r="A13" s="12" t="s">
        <v>9</v>
      </c>
      <c r="B13" s="12" t="s">
        <v>59</v>
      </c>
      <c r="C13" s="12">
        <f>SUMPRODUCT(('Posouzení PREFIX'!H6:H205&lt;&gt;"")*('Posouzení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9</v>
      </c>
      <c r="D13" s="89">
        <f>IF(C42&gt;0,C13/C42,0)</f>
        <v>1.6605166051660517E-2</v>
      </c>
      <c r="E13" s="89">
        <f>SUM($D$7:D13)</f>
        <v>0.1918819188191882</v>
      </c>
      <c r="F13" s="12">
        <f t="shared" si="0"/>
        <v>9</v>
      </c>
      <c r="I13" s="90">
        <v>7</v>
      </c>
      <c r="J13" s="90" t="str">
        <f>IFERROR(INDEX(A7:A41,MATCH(LARGE(O7:O41,7),O7:O41,0)),"–")</f>
        <v>PDSP</v>
      </c>
      <c r="K13" s="90" t="str">
        <f>IFERROR(INDEX(B7:B41,MATCH(LARGE(O7:O41,7),O7:O41,0)),"–")</f>
        <v>Deformovaný spacer</v>
      </c>
      <c r="L13" s="90">
        <f>IFERROR(INDEX(C7:C41,MATCH(LARGE(O7:O41,7),O7:O41,0)),0)</f>
        <v>28</v>
      </c>
      <c r="M13" s="91">
        <f>IFERROR(L13/C42,0)</f>
        <v>5.1660516605166053E-2</v>
      </c>
      <c r="N13" s="91">
        <f>SUM($M$7:M13)</f>
        <v>0.88007380073800734</v>
      </c>
      <c r="O13" s="92">
        <f t="shared" si="1"/>
        <v>9.9998699999999996</v>
      </c>
    </row>
    <row r="14" spans="1:15" ht="15" customHeight="1" x14ac:dyDescent="0.25">
      <c r="A14" s="15" t="s">
        <v>10</v>
      </c>
      <c r="B14" s="15" t="s">
        <v>60</v>
      </c>
      <c r="C14" s="15">
        <f>SUMPRODUCT(('Posouzení PREFIX'!I6:I205&lt;&gt;"")*('Posouzení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2</v>
      </c>
      <c r="D14" s="93">
        <f>IF(C42&gt;0,C14/C42,0)</f>
        <v>3.6900369003690036E-3</v>
      </c>
      <c r="E14" s="93">
        <f>SUM($D$7:D14)</f>
        <v>0.19557195571955721</v>
      </c>
      <c r="F14" s="15">
        <f t="shared" si="0"/>
        <v>13</v>
      </c>
      <c r="I14" s="94">
        <v>8</v>
      </c>
      <c r="J14" s="94" t="str">
        <f>IFERROR(INDEX(A7:A41,MATCH(LARGE(O7:O41,8),O7:O41,0)),"–")</f>
        <v>PMEP</v>
      </c>
      <c r="K14" s="94" t="str">
        <f>IFERROR(INDEX(B7:B41,MATCH(LARGE(O7:O41,8),O7:O41,0)),"–")</f>
        <v>Mechanické poškození</v>
      </c>
      <c r="L14" s="94">
        <f>IFERROR(INDEX(C7:C41,MATCH(LARGE(O7:O41,8),O7:O41,0)),0)</f>
        <v>25</v>
      </c>
      <c r="M14" s="95">
        <f>IFERROR(L14/C42,0)</f>
        <v>4.6125461254612546E-2</v>
      </c>
      <c r="N14" s="95">
        <f>SUM($M$7:M14)</f>
        <v>0.92619926199261993</v>
      </c>
      <c r="O14" s="92">
        <f t="shared" si="1"/>
        <v>2.99986</v>
      </c>
    </row>
    <row r="15" spans="1:15" ht="15" customHeight="1" x14ac:dyDescent="0.25">
      <c r="A15" s="12" t="s">
        <v>11</v>
      </c>
      <c r="B15" s="12" t="s">
        <v>61</v>
      </c>
      <c r="C15" s="12">
        <f>SUMPRODUCT(('Posouzení PREFIX'!J6:J205&lt;&gt;"")*('Posouzení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2</v>
      </c>
      <c r="D15" s="89">
        <f>IF(C42&gt;0,C15/C42,0)</f>
        <v>3.6900369003690036E-3</v>
      </c>
      <c r="E15" s="89">
        <f>SUM($D$7:D15)</f>
        <v>0.19926199261992622</v>
      </c>
      <c r="F15" s="12">
        <f t="shared" si="0"/>
        <v>13</v>
      </c>
      <c r="I15" s="90">
        <v>9</v>
      </c>
      <c r="J15" s="90" t="str">
        <f>IFERROR(INDEX(A7:A41,MATCH(LARGE(O7:O41,9),O7:O41,0)),"–")</f>
        <v>PSNA</v>
      </c>
      <c r="K15" s="90" t="str">
        <f>IFERROR(INDEX(B7:B41,MATCH(LARGE(O7:O41,9),O7:O41,0)),"–")</f>
        <v>Špatný nástřih</v>
      </c>
      <c r="L15" s="90">
        <f>IFERROR(INDEX(C7:C41,MATCH(LARGE(O7:O41,9),O7:O41,0)),0)</f>
        <v>9</v>
      </c>
      <c r="M15" s="91">
        <f>IFERROR(L15/C42,0)</f>
        <v>1.6605166051660517E-2</v>
      </c>
      <c r="N15" s="91">
        <f>SUM($M$7:M15)</f>
        <v>0.94280442804428044</v>
      </c>
      <c r="O15" s="92">
        <f t="shared" si="1"/>
        <v>2.9998499999999999</v>
      </c>
    </row>
    <row r="16" spans="1:15" ht="15" customHeight="1" x14ac:dyDescent="0.25">
      <c r="A16" s="15" t="s">
        <v>12</v>
      </c>
      <c r="B16" s="15" t="s">
        <v>62</v>
      </c>
      <c r="C16" s="15">
        <f>SUMPRODUCT(('Posouzení PREFIX'!K6:K205&lt;&gt;"")*('Posouzení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16" s="93">
        <f>IF(C42&gt;0,C16/C42,0)</f>
        <v>0</v>
      </c>
      <c r="E16" s="93">
        <f>SUM($D$7:D16)</f>
        <v>0.19926199261992622</v>
      </c>
      <c r="F16" s="15">
        <f t="shared" si="0"/>
        <v>21</v>
      </c>
      <c r="I16" s="94">
        <v>10</v>
      </c>
      <c r="J16" s="94" t="str">
        <f>IFERROR(INDEX(A7:A41,MATCH(LARGE(O7:O41,10),O7:O41,0)),"–")</f>
        <v>PDEP</v>
      </c>
      <c r="K16" s="94" t="str">
        <f>IFERROR(INDEX(B7:B41,MATCH(LARGE(O7:O41,10),O7:O41,0)),"–")</f>
        <v>Deformace plastu</v>
      </c>
      <c r="L16" s="94">
        <f>IFERROR(INDEX(C7:C41,MATCH(LARGE(O7:O41,10),O7:O41,0)),0)</f>
        <v>8</v>
      </c>
      <c r="M16" s="95">
        <f>IFERROR(L16/C42,0)</f>
        <v>1.4760147601476014E-2</v>
      </c>
      <c r="N16" s="95">
        <f>SUM($M$7:M16)</f>
        <v>0.95756457564575648</v>
      </c>
      <c r="O16" s="92">
        <f t="shared" si="1"/>
        <v>0.99983999999999995</v>
      </c>
    </row>
    <row r="17" spans="1:15" ht="15" customHeight="1" x14ac:dyDescent="0.25">
      <c r="A17" s="12" t="s">
        <v>13</v>
      </c>
      <c r="B17" s="12" t="s">
        <v>63</v>
      </c>
      <c r="C17" s="12">
        <f>SUMPRODUCT(('Posouzení PREFIX'!L6:L205&lt;&gt;"")*('Posouzení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17" s="89">
        <f>IF(C42&gt;0,C17/C42,0)</f>
        <v>0</v>
      </c>
      <c r="E17" s="89">
        <f>SUM($D$7:D17)</f>
        <v>0.19926199261992622</v>
      </c>
      <c r="F17" s="12">
        <f t="shared" si="0"/>
        <v>21</v>
      </c>
      <c r="I17" s="90">
        <v>11</v>
      </c>
      <c r="J17" s="90" t="str">
        <f>IFERROR(INDEX(A7:A41,MATCH(LARGE(O7:O41,11),O7:O41,0)),"–")</f>
        <v>PSKU</v>
      </c>
      <c r="K17" s="90" t="str">
        <f>IFERROR(INDEX(B7:B41,MATCH(LARGE(O7:O41,11),O7:O41,0)),"–")</f>
        <v>Spálená kůže</v>
      </c>
      <c r="L17" s="90">
        <f>IFERROR(INDEX(C7:C41,MATCH(LARGE(O7:O41,11),O7:O41,0)),0)</f>
        <v>6</v>
      </c>
      <c r="M17" s="91">
        <f>IFERROR(L17/C42,0)</f>
        <v>1.107011070110701E-2</v>
      </c>
      <c r="N17" s="91">
        <f>SUM($M$7:M17)</f>
        <v>0.96863468634686345</v>
      </c>
      <c r="O17" s="92">
        <f t="shared" si="1"/>
        <v>0.99983</v>
      </c>
    </row>
    <row r="18" spans="1:15" ht="15" customHeight="1" x14ac:dyDescent="0.25">
      <c r="A18" s="15" t="s">
        <v>14</v>
      </c>
      <c r="B18" s="15" t="s">
        <v>64</v>
      </c>
      <c r="C18" s="15">
        <f>SUMPRODUCT(('Posouzení PREFIX'!M6:M205&lt;&gt;"")*('Posouzení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18" s="93">
        <f>IF(C42&gt;0,C18/C42,0)</f>
        <v>0</v>
      </c>
      <c r="E18" s="93">
        <f>SUM($D$7:D18)</f>
        <v>0.19926199261992622</v>
      </c>
      <c r="F18" s="15">
        <f t="shared" si="0"/>
        <v>21</v>
      </c>
      <c r="I18" s="94">
        <v>12</v>
      </c>
      <c r="J18" s="94" t="str">
        <f>IFERROR(INDEX(A7:A41,MATCH(LARGE(O7:O41,12),O7:O41,0)),"–")</f>
        <v>PLPK</v>
      </c>
      <c r="K18" s="94" t="str">
        <f>IFERROR(INDEX(B7:B41,MATCH(LARGE(O7:O41,12),O7:O41,0)),"–")</f>
        <v>Lepidlo pod kůží</v>
      </c>
      <c r="L18" s="94">
        <f>IFERROR(INDEX(C7:C41,MATCH(LARGE(O7:O41,12),O7:O41,0)),0)</f>
        <v>5</v>
      </c>
      <c r="M18" s="95">
        <f>IFERROR(L18/C42,0)</f>
        <v>9.2250922509225092E-3</v>
      </c>
      <c r="N18" s="95">
        <f>SUM($M$7:M18)</f>
        <v>0.97785977859778594</v>
      </c>
      <c r="O18" s="92">
        <f t="shared" si="1"/>
        <v>0.99982000000000004</v>
      </c>
    </row>
    <row r="19" spans="1:15" ht="15" customHeight="1" x14ac:dyDescent="0.25">
      <c r="A19" s="12" t="s">
        <v>15</v>
      </c>
      <c r="B19" s="12" t="s">
        <v>65</v>
      </c>
      <c r="C19" s="12">
        <f>SUMPRODUCT(('Posouzení PREFIX'!N6:N205&lt;&gt;"")*('Posouzení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19" s="89">
        <f>IF(C42&gt;0,C19/C42,0)</f>
        <v>0</v>
      </c>
      <c r="E19" s="89">
        <f>SUM($D$7:D19)</f>
        <v>0.19926199261992622</v>
      </c>
      <c r="F19" s="12">
        <f t="shared" si="0"/>
        <v>21</v>
      </c>
      <c r="I19" s="90">
        <v>13</v>
      </c>
      <c r="J19" s="90" t="str">
        <f>IFERROR(INDEX(A7:A41,MATCH(LARGE(O7:O41,13),O7:O41,0)),"–")</f>
        <v>LEP</v>
      </c>
      <c r="K19" s="90" t="str">
        <f>IFERROR(INDEX(B7:B41,MATCH(LARGE(O7:O41,13),O7:O41,0)),"–")</f>
        <v>Špatně nanesené lepidlo</v>
      </c>
      <c r="L19" s="90">
        <f>IFERROR(INDEX(C7:C41,MATCH(LARGE(O7:O41,13),O7:O41,0)),0)</f>
        <v>2</v>
      </c>
      <c r="M19" s="91">
        <f>IFERROR(L19/C42,0)</f>
        <v>3.6900369003690036E-3</v>
      </c>
      <c r="N19" s="91">
        <f>SUM($M$7:M19)</f>
        <v>0.9815498154981549</v>
      </c>
      <c r="O19" s="92">
        <f t="shared" si="1"/>
        <v>0.99980999999999998</v>
      </c>
    </row>
    <row r="20" spans="1:15" ht="15" customHeight="1" x14ac:dyDescent="0.25">
      <c r="A20" s="15" t="s">
        <v>16</v>
      </c>
      <c r="B20" s="15" t="s">
        <v>66</v>
      </c>
      <c r="C20" s="15">
        <f>SUMPRODUCT(('Posouzení PREFIX'!O6:O205&lt;&gt;"")*('Posouzení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2</v>
      </c>
      <c r="D20" s="93">
        <f>IF(C42&gt;0,C20/C42,0)</f>
        <v>3.6900369003690036E-3</v>
      </c>
      <c r="E20" s="93">
        <f>SUM($D$7:D20)</f>
        <v>0.20295202952029523</v>
      </c>
      <c r="F20" s="15">
        <f t="shared" si="0"/>
        <v>13</v>
      </c>
      <c r="I20" s="94">
        <v>14</v>
      </c>
      <c r="J20" s="94" t="str">
        <f>IFERROR(INDEX(A7:A41,MATCH(LARGE(O7:O41,14),O7:O41,0)),"–")</f>
        <v>PVZD</v>
      </c>
      <c r="K20" s="94" t="str">
        <f>IFERROR(INDEX(B7:B41,MATCH(LARGE(O7:O41,14),O7:O41,0)),"–")</f>
        <v>Vzduch</v>
      </c>
      <c r="L20" s="94">
        <f>IFERROR(INDEX(C7:C41,MATCH(LARGE(O7:O41,14),O7:O41,0)),0)</f>
        <v>2</v>
      </c>
      <c r="M20" s="95">
        <f>IFERROR(L20/C42,0)</f>
        <v>3.6900369003690036E-3</v>
      </c>
      <c r="N20" s="95">
        <f>SUM($M$7:M20)</f>
        <v>0.98523985239852385</v>
      </c>
      <c r="O20" s="92">
        <f t="shared" si="1"/>
        <v>2.9998</v>
      </c>
    </row>
    <row r="21" spans="1:15" ht="15" customHeight="1" x14ac:dyDescent="0.25">
      <c r="A21" s="12" t="s">
        <v>17</v>
      </c>
      <c r="B21" s="12" t="s">
        <v>67</v>
      </c>
      <c r="C21" s="12">
        <f>SUMPRODUCT(('Posouzení PREFIX'!P6:P205&lt;&gt;"")*('Posouzení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8</v>
      </c>
      <c r="D21" s="89">
        <f>IF(C42&gt;0,C21/C42,0)</f>
        <v>1.4760147601476014E-2</v>
      </c>
      <c r="E21" s="89">
        <f>SUM($D$7:D21)</f>
        <v>0.21771217712177124</v>
      </c>
      <c r="F21" s="12">
        <f t="shared" si="0"/>
        <v>10</v>
      </c>
      <c r="I21" s="90">
        <v>15</v>
      </c>
      <c r="J21" s="90" t="str">
        <f>IFERROR(INDEX(A7:A41,MATCH(LARGE(O7:O41,15),O7:O41,0)),"–")</f>
        <v>PELC</v>
      </c>
      <c r="K21" s="90" t="str">
        <f>IFERROR(INDEX(B7:B41,MATCH(LARGE(O7:O41,15),O7:O41,0)),"–")</f>
        <v>Expirované lepidlo na MC</v>
      </c>
      <c r="L21" s="90">
        <f>IFERROR(INDEX(C7:C41,MATCH(LARGE(O7:O41,15),O7:O41,0)),0)</f>
        <v>2</v>
      </c>
      <c r="M21" s="91">
        <f>IFERROR(L21/C42,0)</f>
        <v>3.6900369003690036E-3</v>
      </c>
      <c r="N21" s="91">
        <f>SUM($M$7:M21)</f>
        <v>0.98892988929889281</v>
      </c>
      <c r="O21" s="92">
        <f t="shared" si="1"/>
        <v>8.9997900000000008</v>
      </c>
    </row>
    <row r="22" spans="1:15" ht="15" customHeight="1" x14ac:dyDescent="0.25">
      <c r="A22" s="15" t="s">
        <v>18</v>
      </c>
      <c r="B22" s="15" t="s">
        <v>68</v>
      </c>
      <c r="C22" s="15">
        <f>SUMPRODUCT(('Posouzení PREFIX'!Q6:Q205&lt;&gt;"")*('Posouzení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22" s="93">
        <f>IF(C42&gt;0,C22/C42,0)</f>
        <v>0</v>
      </c>
      <c r="E22" s="93">
        <f>SUM($D$7:D22)</f>
        <v>0.21771217712177124</v>
      </c>
      <c r="F22" s="15">
        <f t="shared" si="0"/>
        <v>21</v>
      </c>
      <c r="I22" s="94">
        <v>16</v>
      </c>
      <c r="J22" s="94" t="str">
        <f>IFERROR(INDEX(A7:A41,MATCH(LARGE(O7:O41,16),O7:O41,0)),"–")</f>
        <v>OTL</v>
      </c>
      <c r="K22" s="94" t="str">
        <f>IFERROR(INDEX(B7:B41,MATCH(LARGE(O7:O41,16),O7:O41,0)),"–")</f>
        <v>Otlak</v>
      </c>
      <c r="L22" s="94">
        <f>IFERROR(INDEX(C7:C41,MATCH(LARGE(O7:O41,16),O7:O41,0)),0)</f>
        <v>2</v>
      </c>
      <c r="M22" s="95">
        <f>IFERROR(L22/C42,0)</f>
        <v>3.6900369003690036E-3</v>
      </c>
      <c r="N22" s="95">
        <f>SUM($M$7:M22)</f>
        <v>0.99261992619926176</v>
      </c>
      <c r="O22" s="92">
        <f t="shared" si="1"/>
        <v>0.99978</v>
      </c>
    </row>
    <row r="23" spans="1:15" ht="15" customHeight="1" x14ac:dyDescent="0.25">
      <c r="A23" s="12" t="s">
        <v>24</v>
      </c>
      <c r="B23" s="12" t="s">
        <v>74</v>
      </c>
      <c r="C23" s="12">
        <f>SUMPRODUCT(('Posouzení PREFIX'!W6:W205&lt;&gt;"")*('Posouzení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2</v>
      </c>
      <c r="D23" s="89">
        <f>IF(C42&gt;0,C23/C42,0)</f>
        <v>3.6900369003690036E-3</v>
      </c>
      <c r="E23" s="89">
        <f>SUM($D$7:D23)</f>
        <v>0.22140221402214025</v>
      </c>
      <c r="F23" s="12">
        <f t="shared" si="0"/>
        <v>13</v>
      </c>
      <c r="I23" s="90">
        <v>17</v>
      </c>
      <c r="J23" s="90" t="str">
        <f>IFERROR(INDEX(A7:A41,MATCH(LARGE(O7:O41,17),O7:O41,0)),"–")</f>
        <v>ZHN</v>
      </c>
      <c r="K23" s="90" t="str">
        <f>IFERROR(INDEX(B7:B41,MATCH(LARGE(O7:O41,17),O7:O41,0)),"–")</f>
        <v>Zahranění NOK</v>
      </c>
      <c r="L23" s="90">
        <f>IFERROR(INDEX(C7:C41,MATCH(LARGE(O7:O41,17),O7:O41,0)),0)</f>
        <v>1</v>
      </c>
      <c r="M23" s="91">
        <f>IFERROR(L23/C42,0)</f>
        <v>1.8450184501845018E-3</v>
      </c>
      <c r="N23" s="91">
        <f>SUM($M$7:M23)</f>
        <v>0.99446494464944624</v>
      </c>
      <c r="O23" s="92">
        <f t="shared" si="1"/>
        <v>2.9997699999999998</v>
      </c>
    </row>
    <row r="24" spans="1:15" ht="15" customHeight="1" x14ac:dyDescent="0.25">
      <c r="A24" s="15" t="s">
        <v>26</v>
      </c>
      <c r="B24" s="15" t="s">
        <v>76</v>
      </c>
      <c r="C24" s="15">
        <f>SUMPRODUCT(('Posouzení PREFIX'!Y6:Y205&lt;&gt;"")*('Posouzení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33</v>
      </c>
      <c r="D24" s="93">
        <f>IF(C42&gt;0,C24/C42,0)</f>
        <v>6.0885608856088562E-2</v>
      </c>
      <c r="E24" s="93">
        <f>SUM($D$7:D24)</f>
        <v>0.28228782287822879</v>
      </c>
      <c r="F24" s="15">
        <f t="shared" si="0"/>
        <v>5</v>
      </c>
      <c r="I24" s="94">
        <v>18</v>
      </c>
      <c r="J24" s="94" t="str">
        <f>IFERROR(INDEX(A7:A41,MATCH(LARGE(O7:O41,18),O7:O41,0)),"–")</f>
        <v>PSZA</v>
      </c>
      <c r="K24" s="94" t="str">
        <f>IFERROR(INDEX(B7:B41,MATCH(LARGE(O7:O41,18),O7:O41,0)),"–")</f>
        <v>Špatný zaříznutí</v>
      </c>
      <c r="L24" s="94">
        <f>IFERROR(INDEX(C7:C41,MATCH(LARGE(O7:O41,18),O7:O41,0)),0)</f>
        <v>1</v>
      </c>
      <c r="M24" s="95">
        <f>IFERROR(L24/C42,0)</f>
        <v>1.8450184501845018E-3</v>
      </c>
      <c r="N24" s="95">
        <f>SUM($M$7:M24)</f>
        <v>0.99630996309963071</v>
      </c>
      <c r="O24" s="92">
        <f t="shared" si="1"/>
        <v>33.999760000000002</v>
      </c>
    </row>
    <row r="25" spans="1:15" ht="15" customHeight="1" x14ac:dyDescent="0.25">
      <c r="A25" s="12" t="s">
        <v>27</v>
      </c>
      <c r="B25" s="12" t="s">
        <v>77</v>
      </c>
      <c r="C25" s="12">
        <f>SUMPRODUCT(('Posouzení PREFIX'!Z6:Z205&lt;&gt;"")*('Posouzení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70</v>
      </c>
      <c r="D25" s="89">
        <f>IF(C42&gt;0,C25/C42,0)</f>
        <v>0.12915129151291513</v>
      </c>
      <c r="E25" s="89">
        <f>SUM($D$7:D25)</f>
        <v>0.41143911439114389</v>
      </c>
      <c r="F25" s="12">
        <f t="shared" si="0"/>
        <v>3</v>
      </c>
      <c r="I25" s="90">
        <v>19</v>
      </c>
      <c r="J25" s="90" t="str">
        <f>IFERROR(INDEX(A7:A41,MATCH(LARGE(O7:O41,19),O7:O41,0)),"–")</f>
        <v>PSPC</v>
      </c>
      <c r="K25" s="90" t="str">
        <f>IFERROR(INDEX(B7:B41,MATCH(LARGE(O7:O41,19),O7:O41,0)),"–")</f>
        <v>Špatný spacer</v>
      </c>
      <c r="L25" s="90">
        <f>IFERROR(INDEX(C7:C41,MATCH(LARGE(O7:O41,19),O7:O41,0)),0)</f>
        <v>1</v>
      </c>
      <c r="M25" s="91">
        <f>IFERROR(L25/C42,0)</f>
        <v>1.8450184501845018E-3</v>
      </c>
      <c r="N25" s="91">
        <f>SUM($M$7:M25)</f>
        <v>0.99815498154981519</v>
      </c>
      <c r="O25" s="92">
        <f t="shared" si="1"/>
        <v>70.999750000000006</v>
      </c>
    </row>
    <row r="26" spans="1:15" ht="15" customHeight="1" x14ac:dyDescent="0.25">
      <c r="A26" s="15" t="s">
        <v>28</v>
      </c>
      <c r="B26" s="15" t="s">
        <v>78</v>
      </c>
      <c r="C26" s="15">
        <f>SUMPRODUCT(('Posouzení PREFIX'!AA6:AA205&lt;&gt;"")*('Posouzení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26" s="93">
        <f>IF(C42&gt;0,C26/C42,0)</f>
        <v>0</v>
      </c>
      <c r="E26" s="93">
        <f>SUM($D$7:D26)</f>
        <v>0.41143911439114389</v>
      </c>
      <c r="F26" s="15">
        <f t="shared" si="0"/>
        <v>21</v>
      </c>
      <c r="I26" s="94">
        <v>20</v>
      </c>
      <c r="J26" s="94" t="str">
        <f>IFERROR(INDEX(A7:A41,MATCH(LARGE(O7:O41,20),O7:O41,0)),"–")</f>
        <v>PSGL</v>
      </c>
      <c r="K26" s="94" t="str">
        <f>IFERROR(INDEX(B7:B41,MATCH(LARGE(O7:O41,20),O7:O41,0)),"–")</f>
        <v>Špatná gramáž lepidla</v>
      </c>
      <c r="L26" s="94">
        <f>IFERROR(INDEX(C7:C41,MATCH(LARGE(O7:O41,20),O7:O41,0)),0)</f>
        <v>1</v>
      </c>
      <c r="M26" s="95">
        <f>IFERROR(L26/C42,0)</f>
        <v>1.8450184501845018E-3</v>
      </c>
      <c r="N26" s="95">
        <f>SUM($M$7:M26)</f>
        <v>0.99999999999999967</v>
      </c>
      <c r="O26" s="92">
        <f t="shared" si="1"/>
        <v>0.99973999999999996</v>
      </c>
    </row>
    <row r="27" spans="1:15" ht="15" customHeight="1" x14ac:dyDescent="0.25">
      <c r="A27" s="12" t="s">
        <v>29</v>
      </c>
      <c r="B27" s="12" t="s">
        <v>79</v>
      </c>
      <c r="C27" s="12">
        <f>SUMPRODUCT(('Posouzení PREFIX'!AB6:AB205&lt;&gt;"")*('Posouzení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27" s="89">
        <f>IF(C42&gt;0,C27/C42,0)</f>
        <v>0</v>
      </c>
      <c r="E27" s="89">
        <f>SUM($D$7:D27)</f>
        <v>0.41143911439114389</v>
      </c>
      <c r="F27" s="12">
        <f t="shared" si="0"/>
        <v>21</v>
      </c>
      <c r="I27" s="90">
        <v>21</v>
      </c>
      <c r="J27" s="90" t="str">
        <f>IFERROR(INDEX(A7:A41,MATCH(LARGE(O7:O41,21),O7:O41,0)),"–")</f>
        <v>OHN2</v>
      </c>
      <c r="K27" s="90" t="str">
        <f>IFERROR(INDEX(B7:B41,MATCH(LARGE(O7:O41,21),O7:O41,0)),"–")</f>
        <v>Odřená hrana</v>
      </c>
      <c r="L27" s="90">
        <f>IFERROR(INDEX(C7:C41,MATCH(LARGE(O7:O41,21),O7:O41,0)),0)</f>
        <v>0</v>
      </c>
      <c r="M27" s="91">
        <f>IFERROR(L27/C42,0)</f>
        <v>0</v>
      </c>
      <c r="N27" s="91">
        <f>SUM($M$7:M27)</f>
        <v>0.99999999999999967</v>
      </c>
      <c r="O27" s="92">
        <f t="shared" si="1"/>
        <v>0.99973000000000001</v>
      </c>
    </row>
    <row r="28" spans="1:15" ht="15" customHeight="1" x14ac:dyDescent="0.25">
      <c r="A28" s="15" t="s">
        <v>30</v>
      </c>
      <c r="B28" s="15" t="s">
        <v>80</v>
      </c>
      <c r="C28" s="15">
        <f>SUMPRODUCT(('Posouzení PREFIX'!AC6:AC205&lt;&gt;"")*('Posouzení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1</v>
      </c>
      <c r="D28" s="93">
        <f>IF(C42&gt;0,C28/C42,0)</f>
        <v>1.8450184501845018E-3</v>
      </c>
      <c r="E28" s="93">
        <f>SUM($D$7:D28)</f>
        <v>0.41328413284132837</v>
      </c>
      <c r="F28" s="15">
        <f t="shared" si="0"/>
        <v>17</v>
      </c>
      <c r="I28" s="94">
        <v>22</v>
      </c>
      <c r="J28" s="94" t="str">
        <f>IFERROR(INDEX(A7:A41,MATCH(LARGE(O7:O41,22),O7:O41,0)),"–")</f>
        <v>PSMK</v>
      </c>
      <c r="K28" s="94" t="str">
        <f>IFERROR(INDEX(B7:B41,MATCH(LARGE(O7:O41,22),O7:O41,0)),"–")</f>
        <v>Šev mimo kanál</v>
      </c>
      <c r="L28" s="94">
        <f>IFERROR(INDEX(C7:C41,MATCH(LARGE(O7:O41,22),O7:O41,0)),0)</f>
        <v>0</v>
      </c>
      <c r="M28" s="95">
        <f>IFERROR(L28/C42,0)</f>
        <v>0</v>
      </c>
      <c r="N28" s="95">
        <f>SUM($M$7:M28)</f>
        <v>0.99999999999999967</v>
      </c>
      <c r="O28" s="92">
        <f t="shared" si="1"/>
        <v>1.9997199999999999</v>
      </c>
    </row>
    <row r="29" spans="1:15" ht="15" customHeight="1" x14ac:dyDescent="0.25">
      <c r="A29" s="12" t="s">
        <v>31</v>
      </c>
      <c r="B29" s="12" t="s">
        <v>81</v>
      </c>
      <c r="C29" s="12">
        <f>SUMPRODUCT(('Posouzení PREFIX'!AD6:AD205&lt;&gt;"")*('Posouzení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1</v>
      </c>
      <c r="D29" s="89">
        <f>IF(C42&gt;0,C29/C42,0)</f>
        <v>1.8450184501845018E-3</v>
      </c>
      <c r="E29" s="89">
        <f>SUM($D$7:D29)</f>
        <v>0.41512915129151284</v>
      </c>
      <c r="F29" s="12">
        <f t="shared" si="0"/>
        <v>17</v>
      </c>
      <c r="I29" s="90">
        <v>23</v>
      </c>
      <c r="J29" s="90" t="str">
        <f>IFERROR(INDEX(A7:A41,MATCH(LARGE(O7:O41,23),O7:O41,0)),"–")</f>
        <v>ZVR</v>
      </c>
      <c r="K29" s="90" t="str">
        <f>IFERROR(INDEX(B7:B41,MATCH(LARGE(O7:O41,23),O7:O41,0)),"–")</f>
        <v>Zvrásnění povrchu</v>
      </c>
      <c r="L29" s="90">
        <f>IFERROR(INDEX(C7:C41,MATCH(LARGE(O7:O41,23),O7:O41,0)),0)</f>
        <v>0</v>
      </c>
      <c r="M29" s="91">
        <f>IFERROR(L29/C42,0)</f>
        <v>0</v>
      </c>
      <c r="N29" s="91">
        <f>SUM($M$7:M29)</f>
        <v>0.99999999999999967</v>
      </c>
      <c r="O29" s="92">
        <f t="shared" si="1"/>
        <v>1.9997099999999999</v>
      </c>
    </row>
    <row r="30" spans="1:15" ht="15" customHeight="1" x14ac:dyDescent="0.25">
      <c r="A30" s="15" t="s">
        <v>32</v>
      </c>
      <c r="B30" s="15" t="s">
        <v>82</v>
      </c>
      <c r="C30" s="15">
        <f>SUMPRODUCT(('Posouzení PREFIX'!AE6:AE205&lt;&gt;"")*('Posouzení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0" s="93">
        <f>IF(C42&gt;0,C30/C42,0)</f>
        <v>0</v>
      </c>
      <c r="E30" s="93">
        <f>SUM($D$7:D30)</f>
        <v>0.41512915129151284</v>
      </c>
      <c r="F30" s="15">
        <f t="shared" si="0"/>
        <v>21</v>
      </c>
      <c r="I30" s="94">
        <v>24</v>
      </c>
      <c r="J30" s="94" t="str">
        <f>IFERROR(INDEX(A7:A41,MATCH(LARGE(O7:O41,24),O7:O41,0)),"–")</f>
        <v>LAB</v>
      </c>
      <c r="K30" s="94" t="str">
        <f>IFERROR(INDEX(B7:B41,MATCH(LARGE(O7:O41,24),O7:O41,0)),"–")</f>
        <v>Testy laboratoř</v>
      </c>
      <c r="L30" s="94">
        <f>IFERROR(INDEX(C7:C41,MATCH(LARGE(O7:O41,24),O7:O41,0)),0)</f>
        <v>0</v>
      </c>
      <c r="M30" s="95">
        <f>IFERROR(L30/C42,0)</f>
        <v>0</v>
      </c>
      <c r="N30" s="95">
        <f>SUM($M$7:M30)</f>
        <v>0.99999999999999967</v>
      </c>
      <c r="O30" s="92">
        <f t="shared" si="1"/>
        <v>0.99970000000000003</v>
      </c>
    </row>
    <row r="31" spans="1:15" ht="15" customHeight="1" x14ac:dyDescent="0.25">
      <c r="A31" s="12" t="s">
        <v>34</v>
      </c>
      <c r="B31" s="12" t="s">
        <v>84</v>
      </c>
      <c r="C31" s="12">
        <f>SUMPRODUCT(('Posouzení PREFIX'!AG6:AG205&lt;&gt;"")*('Posouzení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1" s="89">
        <f>IF(C42&gt;0,C31/C42,0)</f>
        <v>0</v>
      </c>
      <c r="E31" s="89">
        <f>SUM($D$7:D31)</f>
        <v>0.41512915129151284</v>
      </c>
      <c r="F31" s="12">
        <f t="shared" si="0"/>
        <v>21</v>
      </c>
      <c r="I31" s="90">
        <v>25</v>
      </c>
      <c r="J31" s="90" t="str">
        <f>IFERROR(INDEX(A7:A41,MATCH(LARGE(O7:O41,25),O7:O41,0)),"–")</f>
        <v>PKOL</v>
      </c>
      <c r="K31" s="90" t="str">
        <f>IFERROR(INDEX(B7:B41,MATCH(LARGE(O7:O41,25),O7:O41,0)),"–")</f>
        <v>Kontaminace lepidlem</v>
      </c>
      <c r="L31" s="90">
        <f>IFERROR(INDEX(C7:C41,MATCH(LARGE(O7:O41,25),O7:O41,0)),0)</f>
        <v>0</v>
      </c>
      <c r="M31" s="91">
        <f>IFERROR(L31/C42,0)</f>
        <v>0</v>
      </c>
      <c r="N31" s="91">
        <f>SUM($M$7:M31)</f>
        <v>0.99999999999999967</v>
      </c>
      <c r="O31" s="92">
        <f t="shared" si="1"/>
        <v>0.99968999999999997</v>
      </c>
    </row>
    <row r="32" spans="1:15" ht="15" customHeight="1" x14ac:dyDescent="0.25">
      <c r="A32" s="15" t="s">
        <v>36</v>
      </c>
      <c r="B32" s="15" t="s">
        <v>86</v>
      </c>
      <c r="C32" s="15">
        <f>SUMPRODUCT(('Posouzení PREFIX'!AI6:AI205&lt;&gt;"")*('Posouzení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1</v>
      </c>
      <c r="D32" s="93">
        <f>IF(C42&gt;0,C32/C42,0)</f>
        <v>1.8450184501845018E-3</v>
      </c>
      <c r="E32" s="93">
        <f>SUM($D$7:D32)</f>
        <v>0.41697416974169732</v>
      </c>
      <c r="F32" s="15">
        <f t="shared" si="0"/>
        <v>17</v>
      </c>
      <c r="I32" s="94">
        <v>26</v>
      </c>
      <c r="J32" s="94" t="str">
        <f>IFERROR(INDEX(A7:A41,MATCH(LARGE(O7:O41,26),O7:O41,0)),"–")</f>
        <v>PNHE</v>
      </c>
      <c r="K32" s="94" t="str">
        <f>IFERROR(INDEX(B7:B41,MATCH(LARGE(O7:O41,26),O7:O41,0)),"–")</f>
        <v>Nefunkční heating</v>
      </c>
      <c r="L32" s="94">
        <f>IFERROR(INDEX(C7:C41,MATCH(LARGE(O7:O41,26),O7:O41,0)),0)</f>
        <v>0</v>
      </c>
      <c r="M32" s="95">
        <f>IFERROR(L32/C42,0)</f>
        <v>0</v>
      </c>
      <c r="N32" s="95">
        <f>SUM($M$7:M32)</f>
        <v>0.99999999999999967</v>
      </c>
      <c r="O32" s="92">
        <f t="shared" si="1"/>
        <v>1.9996800000000001</v>
      </c>
    </row>
    <row r="33" spans="1:15" ht="15" customHeight="1" x14ac:dyDescent="0.25">
      <c r="A33" s="12" t="s">
        <v>37</v>
      </c>
      <c r="B33" s="12" t="s">
        <v>87</v>
      </c>
      <c r="C33" s="12">
        <f>SUMPRODUCT(('Posouzení PREFIX'!AJ6:AJ205&lt;&gt;"")*('Posouzení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3" s="89">
        <f>IF(C42&gt;0,C33/C42,0)</f>
        <v>0</v>
      </c>
      <c r="E33" s="89">
        <f>SUM($D$7:D33)</f>
        <v>0.41697416974169732</v>
      </c>
      <c r="F33" s="12">
        <f t="shared" si="0"/>
        <v>21</v>
      </c>
      <c r="I33" s="90">
        <v>27</v>
      </c>
      <c r="J33" s="90" t="str">
        <f>IFERROR(INDEX(A7:A41,MATCH(LARGE(O7:O41,27),O7:O41,0)),"–")</f>
        <v>DEL</v>
      </c>
      <c r="K33" s="90" t="str">
        <f>IFERROR(INDEX(B7:B41,MATCH(LARGE(O7:O41,27),O7:O41,0)),"–")</f>
        <v>Delaminace (hrany)</v>
      </c>
      <c r="L33" s="90">
        <f>IFERROR(INDEX(C7:C41,MATCH(LARGE(O7:O41,27),O7:O41,0)),0)</f>
        <v>0</v>
      </c>
      <c r="M33" s="91">
        <f>IFERROR(L33/C42,0)</f>
        <v>0</v>
      </c>
      <c r="N33" s="91">
        <f>SUM($M$7:M33)</f>
        <v>0.99999999999999967</v>
      </c>
      <c r="O33" s="92">
        <f t="shared" si="1"/>
        <v>0.99966999999999995</v>
      </c>
    </row>
    <row r="34" spans="1:15" ht="15" customHeight="1" x14ac:dyDescent="0.25">
      <c r="A34" s="15" t="s">
        <v>38</v>
      </c>
      <c r="B34" s="15" t="s">
        <v>88</v>
      </c>
      <c r="C34" s="15">
        <f>SUMPRODUCT(('Posouzení PREFIX'!AK6:AK205&lt;&gt;"")*('Posouzení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4" s="93">
        <f>IF(C42&gt;0,C34/C42,0)</f>
        <v>0</v>
      </c>
      <c r="E34" s="93">
        <f>SUM($D$7:D34)</f>
        <v>0.41697416974169732</v>
      </c>
      <c r="F34" s="15">
        <f t="shared" si="0"/>
        <v>21</v>
      </c>
      <c r="I34" s="94">
        <v>28</v>
      </c>
      <c r="J34" s="94" t="str">
        <f>IFERROR(INDEX(A7:A41,MATCH(LARGE(O7:O41,28),O7:O41,0)),"–")</f>
        <v>PDEL</v>
      </c>
      <c r="K34" s="94" t="str">
        <f>IFERROR(INDEX(B7:B41,MATCH(LARGE(O7:O41,28),O7:O41,0)),"–")</f>
        <v>Delaminace (plochy)</v>
      </c>
      <c r="L34" s="94">
        <f>IFERROR(INDEX(C7:C41,MATCH(LARGE(O7:O41,28),O7:O41,0)),0)</f>
        <v>0</v>
      </c>
      <c r="M34" s="95">
        <f>IFERROR(L34/C42,0)</f>
        <v>0</v>
      </c>
      <c r="N34" s="95">
        <f>SUM($M$7:M34)</f>
        <v>0.99999999999999967</v>
      </c>
      <c r="O34" s="92">
        <f t="shared" si="1"/>
        <v>0.99965999999999999</v>
      </c>
    </row>
    <row r="35" spans="1:15" ht="19.5" customHeight="1" x14ac:dyDescent="0.25">
      <c r="A35" s="12" t="s">
        <v>39</v>
      </c>
      <c r="B35" s="12" t="s">
        <v>89</v>
      </c>
      <c r="C35" s="12">
        <f>SUMPRODUCT(('Posouzení PREFIX'!AL6:AL205&lt;&gt;"")*('Posouzení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5" s="89">
        <f>IF(C42&gt;0,C35/C42,0)</f>
        <v>0</v>
      </c>
      <c r="E35" s="89">
        <f>SUM($D$7:D35)</f>
        <v>0.41697416974169732</v>
      </c>
      <c r="F35" s="12">
        <f t="shared" si="0"/>
        <v>21</v>
      </c>
      <c r="I35" s="90">
        <v>29</v>
      </c>
      <c r="J35" s="90" t="str">
        <f>IFERROR(INDEX(A7:A41,MATCH(LARGE(O7:O41,29),O7:O41,0)),"–")</f>
        <v>ZNA</v>
      </c>
      <c r="K35" s="90" t="str">
        <f>IFERROR(INDEX(B7:B41,MATCH(LARGE(O7:O41,29),O7:O41,0)),"–")</f>
        <v>Znečištění od ASQ</v>
      </c>
      <c r="L35" s="90">
        <f>IFERROR(INDEX(C7:C41,MATCH(LARGE(O7:O41,29),O7:O41,0)),0)</f>
        <v>0</v>
      </c>
      <c r="M35" s="91">
        <f>IFERROR(L35/C42,0)</f>
        <v>0</v>
      </c>
      <c r="N35" s="91">
        <f>SUM($M$7:M35)</f>
        <v>0.99999999999999967</v>
      </c>
      <c r="O35" s="92">
        <f t="shared" si="1"/>
        <v>0.99965000000000004</v>
      </c>
    </row>
    <row r="36" spans="1:15" ht="15" customHeight="1" x14ac:dyDescent="0.25">
      <c r="A36" s="15" t="s">
        <v>41</v>
      </c>
      <c r="B36" s="15" t="s">
        <v>91</v>
      </c>
      <c r="C36" s="15">
        <f>SUMPRODUCT(('Posouzení PREFIX'!AN6:AN205&lt;&gt;"")*('Posouzení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6" s="93">
        <f>IF(C42&gt;0,C36/C42,0)</f>
        <v>0</v>
      </c>
      <c r="E36" s="93">
        <f>SUM($D$7:D36)</f>
        <v>0.41697416974169732</v>
      </c>
      <c r="F36" s="15">
        <f t="shared" si="0"/>
        <v>21</v>
      </c>
      <c r="I36" s="94">
        <v>30</v>
      </c>
      <c r="J36" s="94" t="str">
        <f>IFERROR(INDEX(A7:A41,MATCH(LARGE(O7:O41,30),O7:O41,0)),"–")</f>
        <v>FLEK</v>
      </c>
      <c r="K36" s="94" t="str">
        <f>IFERROR(INDEX(B7:B41,MATCH(LARGE(O7:O41,30),O7:O41,0)),"–")</f>
        <v>Flek</v>
      </c>
      <c r="L36" s="94">
        <f>IFERROR(INDEX(C7:C41,MATCH(LARGE(O7:O41,30),O7:O41,0)),0)</f>
        <v>0</v>
      </c>
      <c r="M36" s="95">
        <f>IFERROR(L36/C42,0)</f>
        <v>0</v>
      </c>
      <c r="N36" s="95">
        <f>SUM($M$7:M36)</f>
        <v>0.99999999999999967</v>
      </c>
      <c r="O36" s="92">
        <f t="shared" si="1"/>
        <v>0.99963999999999997</v>
      </c>
    </row>
    <row r="37" spans="1:15" ht="15" customHeight="1" x14ac:dyDescent="0.25">
      <c r="A37" s="12" t="s">
        <v>43</v>
      </c>
      <c r="B37" s="12" t="s">
        <v>93</v>
      </c>
      <c r="C37" s="12">
        <f>SUMPRODUCT(('Posouzení PREFIX'!AP6:AP205&lt;&gt;"")*('Posouzení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1</v>
      </c>
      <c r="D37" s="89">
        <f>IF(C42&gt;0,C37/C42,0)</f>
        <v>1.8450184501845018E-3</v>
      </c>
      <c r="E37" s="89">
        <f>SUM($D$7:D37)</f>
        <v>0.4188191881918818</v>
      </c>
      <c r="F37" s="12">
        <f t="shared" si="0"/>
        <v>17</v>
      </c>
      <c r="I37" s="90">
        <v>31</v>
      </c>
      <c r="J37" s="90" t="str">
        <f>IFERROR(INDEX(A7:A41,MATCH(LARGE(O7:O41,31),O7:O41,0)),"–")</f>
        <v>PSKZ</v>
      </c>
      <c r="K37" s="90" t="str">
        <f>IFERROR(INDEX(B7:B41,MATCH(LARGE(O7:O41,31),O7:O41,0)),"–")</f>
        <v>Špatná kůže</v>
      </c>
      <c r="L37" s="90">
        <f>IFERROR(INDEX(C7:C41,MATCH(LARGE(O7:O41,31),O7:O41,0)),0)</f>
        <v>0</v>
      </c>
      <c r="M37" s="91">
        <f>IFERROR(L37/C42,0)</f>
        <v>0</v>
      </c>
      <c r="N37" s="91">
        <f>SUM($M$7:M37)</f>
        <v>0.99999999999999967</v>
      </c>
      <c r="O37" s="92">
        <f t="shared" si="1"/>
        <v>1.99963</v>
      </c>
    </row>
    <row r="38" spans="1:15" ht="15" customHeight="1" x14ac:dyDescent="0.25">
      <c r="A38" s="15" t="s">
        <v>46</v>
      </c>
      <c r="B38" s="15" t="s">
        <v>96</v>
      </c>
      <c r="C38" s="15">
        <f>SUMPRODUCT(('Posouzení PREFIX'!AS6:AS205&lt;&gt;"")*('Posouzení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0</v>
      </c>
      <c r="D38" s="93">
        <f>IF(C42&gt;0,C38/C42,0)</f>
        <v>0</v>
      </c>
      <c r="E38" s="93">
        <f>SUM($D$7:D38)</f>
        <v>0.4188191881918818</v>
      </c>
      <c r="F38" s="15">
        <f t="shared" si="0"/>
        <v>21</v>
      </c>
      <c r="I38" s="94">
        <v>32</v>
      </c>
      <c r="J38" s="94" t="str">
        <f>IFERROR(INDEX(A7:A41,MATCH(LARGE(O7:O41,32),O7:O41,0)),"–")</f>
        <v>PSHC</v>
      </c>
      <c r="K38" s="94" t="str">
        <f>IFERROR(INDEX(B7:B41,MATCH(LARGE(O7:O41,32),O7:O41,0)),"–")</f>
        <v>Špatný heating spacer</v>
      </c>
      <c r="L38" s="94">
        <f>IFERROR(INDEX(C7:C41,MATCH(LARGE(O7:O41,32),O7:O41,0)),0)</f>
        <v>0</v>
      </c>
      <c r="M38" s="95">
        <f>IFERROR(L38/C42,0)</f>
        <v>0</v>
      </c>
      <c r="N38" s="95">
        <f>SUM($M$7:M38)</f>
        <v>0.99999999999999967</v>
      </c>
      <c r="O38" s="92">
        <f t="shared" si="1"/>
        <v>0.99961999999999995</v>
      </c>
    </row>
    <row r="39" spans="1:15" ht="15" customHeight="1" x14ac:dyDescent="0.25">
      <c r="A39" s="96" t="s">
        <v>47</v>
      </c>
      <c r="B39" s="96" t="s">
        <v>97</v>
      </c>
      <c r="C39" s="96">
        <f>SUMPRODUCT(('Posouzení PREFIX'!AT6:AT205&lt;&gt;"")*('Posouzení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36</v>
      </c>
      <c r="D39" s="97">
        <f>IF(C42&gt;0,C39/C42,0)</f>
        <v>6.6420664206642069E-2</v>
      </c>
      <c r="E39" s="97">
        <f>SUM($D$7:D39)</f>
        <v>0.48523985239852385</v>
      </c>
      <c r="F39" s="96">
        <f t="shared" si="0"/>
        <v>4</v>
      </c>
      <c r="I39" s="90">
        <v>33</v>
      </c>
      <c r="J39" s="90" t="str">
        <f>IFERROR(INDEX(A7:A41,MATCH(LARGE(O7:O41,33),O7:O41,0)),"–")</f>
        <v>PSMC</v>
      </c>
      <c r="K39" s="90" t="str">
        <f>IFERROR(INDEX(B7:B41,MATCH(LARGE(O7:O41,33),O7:O41,0)),"–")</f>
        <v>Špatný plastový MC</v>
      </c>
      <c r="L39" s="90">
        <f>IFERROR(INDEX(C7:C41,MATCH(LARGE(O7:O41,33),O7:O41,0)),0)</f>
        <v>0</v>
      </c>
      <c r="M39" s="91">
        <f>IFERROR(L39/C42,0)</f>
        <v>0</v>
      </c>
      <c r="N39" s="91">
        <f>SUM($M$7:M39)</f>
        <v>0.99999999999999967</v>
      </c>
      <c r="O39" s="92">
        <f t="shared" si="1"/>
        <v>36.999609999999997</v>
      </c>
    </row>
    <row r="40" spans="1:15" ht="15" customHeight="1" x14ac:dyDescent="0.25">
      <c r="A40" s="98" t="s">
        <v>48</v>
      </c>
      <c r="B40" s="98" t="s">
        <v>98</v>
      </c>
      <c r="C40" s="98">
        <f>SUMPRODUCT(('Posouzení PREFIX'!AU6:AU205&lt;&gt;"")*('Posouzení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167</v>
      </c>
      <c r="D40" s="99">
        <f>IF(C42&gt;0,C40/C42,0)</f>
        <v>0.3081180811808118</v>
      </c>
      <c r="E40" s="99">
        <f>SUM($D$7:D40)</f>
        <v>0.79335793357933571</v>
      </c>
      <c r="F40" s="98">
        <f t="shared" si="0"/>
        <v>1</v>
      </c>
      <c r="I40" s="94">
        <v>34</v>
      </c>
      <c r="J40" s="94" t="str">
        <f>IFERROR(INDEX(A7:A41,MATCH(LARGE(O7:O41,34),O7:O41,0)),"–")</f>
        <v>PELS</v>
      </c>
      <c r="K40" s="94" t="str">
        <f>IFERROR(INDEX(B7:B41,MATCH(LARGE(O7:O41,34),O7:O41,0)),"–")</f>
        <v>Expirované lepidlo na spaceru</v>
      </c>
      <c r="L40" s="94">
        <f>IFERROR(INDEX(C7:C41,MATCH(LARGE(O7:O41,34),O7:O41,0)),0)</f>
        <v>0</v>
      </c>
      <c r="M40" s="95">
        <f>IFERROR(L40/C42,0)</f>
        <v>0</v>
      </c>
      <c r="N40" s="95">
        <f>SUM($M$7:M40)</f>
        <v>0.99999999999999967</v>
      </c>
      <c r="O40" s="92">
        <f t="shared" si="1"/>
        <v>167.99959999999999</v>
      </c>
    </row>
    <row r="41" spans="1:15" ht="15" customHeight="1" x14ac:dyDescent="0.25">
      <c r="A41" s="96" t="s">
        <v>49</v>
      </c>
      <c r="B41" s="96" t="s">
        <v>99</v>
      </c>
      <c r="C41" s="96">
        <f>SUMPRODUCT(('Posouzení PREFIX'!AV6:AV205&lt;&gt;"")*('Posouzení PREFIX'!A6:A205&lt;&gt;"")*IF($B$2="Vše",1,'Posouzení PREFIX'!AW6:AW205=MATCH($B$2,{"Leden","Únor","Březen","Duben","Květen","Červen","Červenec","Srpen","Září","Říjen","Listopad","Prosinec"},0))*IF($B$3="Vše",1,'Posouzení PREFIX'!AX6:AX205=VALUE($B$3)))</f>
        <v>112</v>
      </c>
      <c r="D41" s="97">
        <f>IF(C42&gt;0,C41/C42,0)</f>
        <v>0.20664206642066421</v>
      </c>
      <c r="E41" s="97">
        <f>SUM($D$7:D41)</f>
        <v>0.99999999999999989</v>
      </c>
      <c r="F41" s="96">
        <f t="shared" si="0"/>
        <v>2</v>
      </c>
      <c r="I41" s="90">
        <v>35</v>
      </c>
      <c r="J41" s="90" t="str">
        <f>IFERROR(INDEX(A7:A41,MATCH(LARGE(O7:O41,35),O7:O41,0)),"–")</f>
        <v>PSAL</v>
      </c>
      <c r="K41" s="90" t="str">
        <f>IFERROR(INDEX(B7:B41,MATCH(LARGE(O7:O41,35),O7:O41,0)),"–")</f>
        <v>Špatně aktivované lepidlo</v>
      </c>
      <c r="L41" s="90">
        <f>IFERROR(INDEX(C7:C41,MATCH(LARGE(O7:O41,35),O7:O41,0)),0)</f>
        <v>0</v>
      </c>
      <c r="M41" s="91">
        <f>IFERROR(L41/C42,0)</f>
        <v>0</v>
      </c>
      <c r="N41" s="91">
        <f>SUM($M$7:M41)</f>
        <v>0.99999999999999967</v>
      </c>
      <c r="O41" s="92">
        <f t="shared" si="1"/>
        <v>112.99959</v>
      </c>
    </row>
    <row r="42" spans="1:15" ht="15" customHeight="1" x14ac:dyDescent="0.25">
      <c r="A42" s="6" t="s">
        <v>381</v>
      </c>
      <c r="B42" s="6"/>
      <c r="C42" s="6">
        <f>SUM(C7:C41)</f>
        <v>542</v>
      </c>
      <c r="L42" s="100">
        <f>SUM(L7:L41)</f>
        <v>542</v>
      </c>
    </row>
  </sheetData>
  <mergeCells count="3">
    <mergeCell ref="A1:H1"/>
    <mergeCell ref="B2:D2"/>
    <mergeCell ref="B3:D3"/>
  </mergeCells>
  <dataValidations count="2">
    <dataValidation type="list" sqref="B2" xr:uid="{00000000-0002-0000-0300-000000000000}">
      <formula1>"Vše,Leden,Únor,Březen,Duben,Květen,Červen,Červenec,Srpen,Září,Říjen,Listopad,Prosinec"</formula1>
      <formula2>0</formula2>
    </dataValidation>
    <dataValidation type="list" sqref="B3" xr:uid="{00000000-0002-0000-0300-000001000000}">
      <formula1>"Vše,2024,2025,2026,2027,2028"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O38"/>
  <sheetViews>
    <sheetView zoomScaleNormal="100" workbookViewId="0">
      <pane ySplit="2" topLeftCell="A4" activePane="bottomLeft" state="frozen"/>
      <selection pane="bottomLeft" activeCell="J13" sqref="J13"/>
    </sheetView>
  </sheetViews>
  <sheetFormatPr defaultColWidth="8.7109375" defaultRowHeight="15" x14ac:dyDescent="0.25"/>
  <cols>
    <col min="1" max="1" width="10" style="1" customWidth="1"/>
    <col min="2" max="2" width="36" style="1" customWidth="1"/>
    <col min="3" max="3" width="12" style="1" customWidth="1"/>
    <col min="4" max="4" width="10" style="1" customWidth="1"/>
    <col min="5" max="5" width="14" style="1" customWidth="1"/>
    <col min="6" max="6" width="10" style="1" customWidth="1"/>
    <col min="9" max="9" width="4" style="1" customWidth="1"/>
    <col min="10" max="10" width="10" style="1" customWidth="1"/>
    <col min="11" max="11" width="32" style="1" customWidth="1"/>
    <col min="12" max="12" width="12" style="1" customWidth="1"/>
    <col min="13" max="14" width="10" style="1" customWidth="1"/>
    <col min="15" max="15" width="11.5703125" style="1" customWidth="1"/>
  </cols>
  <sheetData>
    <row r="1" spans="1:15" ht="27.75" customHeight="1" x14ac:dyDescent="0.25">
      <c r="A1" s="224" t="s">
        <v>382</v>
      </c>
      <c r="B1" s="224"/>
      <c r="C1" s="224"/>
      <c r="D1" s="224"/>
      <c r="E1" s="224"/>
      <c r="F1" s="224"/>
      <c r="G1" s="224"/>
      <c r="H1" s="224"/>
    </row>
    <row r="2" spans="1:15" ht="25.5" customHeight="1" x14ac:dyDescent="0.25">
      <c r="A2" s="2" t="s">
        <v>369</v>
      </c>
      <c r="B2" s="226" t="s">
        <v>370</v>
      </c>
      <c r="C2" s="226"/>
      <c r="D2" s="226"/>
      <c r="E2" s="84" t="s">
        <v>371</v>
      </c>
    </row>
    <row r="3" spans="1:15" ht="25.5" customHeight="1" x14ac:dyDescent="0.25">
      <c r="A3" s="2" t="s">
        <v>372</v>
      </c>
      <c r="B3" s="226" t="s">
        <v>370</v>
      </c>
      <c r="C3" s="226"/>
      <c r="D3" s="226"/>
      <c r="E3" s="84" t="s">
        <v>373</v>
      </c>
    </row>
    <row r="4" spans="1:15" ht="4.5" customHeight="1" x14ac:dyDescent="0.25"/>
    <row r="5" spans="1:15" ht="15" customHeight="1" x14ac:dyDescent="0.25">
      <c r="A5" s="85"/>
      <c r="B5" s="86"/>
      <c r="C5" s="86"/>
      <c r="D5" s="86"/>
      <c r="E5" s="86"/>
      <c r="F5" s="86"/>
      <c r="G5" s="86"/>
      <c r="H5" s="86"/>
      <c r="I5" s="86"/>
    </row>
    <row r="6" spans="1:15" ht="15" customHeight="1" x14ac:dyDescent="0.25">
      <c r="A6" s="3" t="s">
        <v>2</v>
      </c>
      <c r="B6" s="3" t="s">
        <v>52</v>
      </c>
      <c r="C6" s="3" t="s">
        <v>374</v>
      </c>
      <c r="D6" s="3" t="s">
        <v>375</v>
      </c>
      <c r="E6" s="3" t="s">
        <v>376</v>
      </c>
      <c r="F6" s="3" t="s">
        <v>377</v>
      </c>
      <c r="I6" s="6" t="s">
        <v>378</v>
      </c>
      <c r="J6" s="87" t="s">
        <v>2</v>
      </c>
      <c r="K6" s="87" t="s">
        <v>52</v>
      </c>
      <c r="L6" s="87" t="s">
        <v>374</v>
      </c>
      <c r="M6" s="87" t="s">
        <v>375</v>
      </c>
      <c r="N6" s="87" t="s">
        <v>379</v>
      </c>
      <c r="O6" s="88" t="s">
        <v>380</v>
      </c>
    </row>
    <row r="7" spans="1:15" ht="15" customHeight="1" x14ac:dyDescent="0.25">
      <c r="A7" s="12" t="s">
        <v>3</v>
      </c>
      <c r="B7" s="12" t="s">
        <v>53</v>
      </c>
      <c r="C7" s="12">
        <f>SUMPRODUCT(('Posouzení SKLAD'!B6:B205&lt;&gt;"")*('Posouzení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9</v>
      </c>
      <c r="D7" s="89">
        <f>IF(C38&gt;0,C7/C38,0)</f>
        <v>1.6129032258064516E-2</v>
      </c>
      <c r="E7" s="89">
        <f>D7</f>
        <v>1.6129032258064516E-2</v>
      </c>
      <c r="F7" s="12">
        <f t="shared" ref="F7:F37" si="0">IFERROR(RANK(C7,C$7:C$37,0),"")</f>
        <v>9</v>
      </c>
      <c r="I7" s="90">
        <v>1</v>
      </c>
      <c r="J7" s="90" t="str">
        <f>IFERROR(INDEX(A7:A37,MATCH(LARGE(O7:O37,1),O7:O37,0)),"–")</f>
        <v>KRSK</v>
      </c>
      <c r="K7" s="90" t="str">
        <f>IFERROR(INDEX(B7:B37,MATCH(LARGE(O7:O37,1),O7:O37,0)),"–")</f>
        <v>Kragujevac - skin defect</v>
      </c>
      <c r="L7" s="90">
        <f>IFERROR(INDEX(C7:C37,MATCH(LARGE(O7:O37,1),O7:O37,0)),0)</f>
        <v>129</v>
      </c>
      <c r="M7" s="91">
        <f>IFERROR(L7/C38,0)</f>
        <v>0.23118279569892472</v>
      </c>
      <c r="N7" s="91">
        <f>M7</f>
        <v>0.23118279569892472</v>
      </c>
      <c r="O7" s="92">
        <f t="shared" ref="O7:O37" si="1">C7+(1-ROW()*0.00001)</f>
        <v>9.9999299999999991</v>
      </c>
    </row>
    <row r="8" spans="1:15" ht="15" customHeight="1" x14ac:dyDescent="0.25">
      <c r="A8" s="15" t="s">
        <v>4</v>
      </c>
      <c r="B8" s="15" t="s">
        <v>54</v>
      </c>
      <c r="C8" s="15">
        <f>SUMPRODUCT(('Posouzení SKLAD'!C6:C205&lt;&gt;"")*('Posouzení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32</v>
      </c>
      <c r="D8" s="93">
        <f>IF(C38&gt;0,C8/C38,0)</f>
        <v>5.7347670250896057E-2</v>
      </c>
      <c r="E8" s="93">
        <f>SUM($D$7:D8)</f>
        <v>7.3476702508960573E-2</v>
      </c>
      <c r="F8" s="15">
        <f t="shared" si="0"/>
        <v>6</v>
      </c>
      <c r="I8" s="94">
        <v>2</v>
      </c>
      <c r="J8" s="94" t="str">
        <f>IFERROR(INDEX(A7:A37,MATCH(LARGE(O7:O37,2),O7:O37,0)),"–")</f>
        <v>PDSP</v>
      </c>
      <c r="K8" s="94" t="str">
        <f>IFERROR(INDEX(B7:B37,MATCH(LARGE(O7:O37,2),O7:O37,0)),"–")</f>
        <v>Deformovaný spacer</v>
      </c>
      <c r="L8" s="94">
        <f>IFERROR(INDEX(C7:C37,MATCH(LARGE(O7:O37,2),O7:O37,0)),0)</f>
        <v>115</v>
      </c>
      <c r="M8" s="95">
        <f>IFERROR(L8/C38,0)</f>
        <v>0.20609318996415771</v>
      </c>
      <c r="N8" s="95">
        <f>SUM($M$7:M8)</f>
        <v>0.43727598566308246</v>
      </c>
      <c r="O8" s="92">
        <f t="shared" si="1"/>
        <v>32.999920000000003</v>
      </c>
    </row>
    <row r="9" spans="1:15" ht="15" customHeight="1" x14ac:dyDescent="0.25">
      <c r="A9" s="12" t="s">
        <v>5</v>
      </c>
      <c r="B9" s="12" t="s">
        <v>55</v>
      </c>
      <c r="C9" s="12">
        <f>SUMPRODUCT(('Posouzení SKLAD'!D6:D205&lt;&gt;"")*('Posouzení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9" s="89">
        <f>IF(C38&gt;0,C9/C38,0)</f>
        <v>0</v>
      </c>
      <c r="E9" s="89">
        <f>SUM($D$7:D9)</f>
        <v>7.3476702508960573E-2</v>
      </c>
      <c r="F9" s="12">
        <f t="shared" si="0"/>
        <v>18</v>
      </c>
      <c r="I9" s="90">
        <v>3</v>
      </c>
      <c r="J9" s="90" t="str">
        <f>IFERROR(INDEX(A7:A37,MATCH(LARGE(O7:O37,3),O7:O37,0)),"–")</f>
        <v>PVZD</v>
      </c>
      <c r="K9" s="90" t="str">
        <f>IFERROR(INDEX(B7:B37,MATCH(LARGE(O7:O37,3),O7:O37,0)),"–")</f>
        <v>Vzduch</v>
      </c>
      <c r="L9" s="90">
        <f>IFERROR(INDEX(C7:C37,MATCH(LARGE(O7:O37,3),O7:O37,0)),0)</f>
        <v>99</v>
      </c>
      <c r="M9" s="91">
        <f>IFERROR(L9/C38,0)</f>
        <v>0.17741935483870969</v>
      </c>
      <c r="N9" s="91">
        <f>SUM($M$7:M9)</f>
        <v>0.61469534050179209</v>
      </c>
      <c r="O9" s="92">
        <f t="shared" si="1"/>
        <v>0.99990999999999997</v>
      </c>
    </row>
    <row r="10" spans="1:15" ht="15" customHeight="1" x14ac:dyDescent="0.25">
      <c r="A10" s="15" t="s">
        <v>6</v>
      </c>
      <c r="B10" s="15" t="s">
        <v>56</v>
      </c>
      <c r="C10" s="15">
        <f>SUMPRODUCT(('Posouzení SKLAD'!E6:E205&lt;&gt;"")*('Posouzení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7</v>
      </c>
      <c r="D10" s="93">
        <f>IF(C38&gt;0,C10/C38,0)</f>
        <v>1.2544802867383513E-2</v>
      </c>
      <c r="E10" s="93">
        <f>SUM($D$7:D10)</f>
        <v>8.6021505376344093E-2</v>
      </c>
      <c r="F10" s="15">
        <f t="shared" si="0"/>
        <v>10</v>
      </c>
      <c r="I10" s="94">
        <v>4</v>
      </c>
      <c r="J10" s="94" t="str">
        <f>IFERROR(INDEX(A7:A37,MATCH(LARGE(O7:O37,4),O7:O37,0)),"–")</f>
        <v>SPF</v>
      </c>
      <c r="K10" s="94" t="str">
        <f>IFERROR(INDEX(B7:B37,MATCH(LARGE(O7:O37,4),O7:O37,0)),"–")</f>
        <v>Špatný prefix</v>
      </c>
      <c r="L10" s="94">
        <f>IFERROR(INDEX(C7:C37,MATCH(LARGE(O7:O37,4),O7:O37,0)),0)</f>
        <v>48</v>
      </c>
      <c r="M10" s="95">
        <f>IFERROR(L10/C38,0)</f>
        <v>8.6021505376344093E-2</v>
      </c>
      <c r="N10" s="95">
        <f>SUM($M$7:M10)</f>
        <v>0.70071684587813621</v>
      </c>
      <c r="O10" s="92">
        <f t="shared" si="1"/>
        <v>7.9999000000000002</v>
      </c>
    </row>
    <row r="11" spans="1:15" ht="15" customHeight="1" x14ac:dyDescent="0.25">
      <c r="A11" s="12" t="s">
        <v>7</v>
      </c>
      <c r="B11" s="12" t="s">
        <v>57</v>
      </c>
      <c r="C11" s="12">
        <f>SUMPRODUCT(('Posouzení SKLAD'!F6:F205&lt;&gt;"")*('Posouzení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115</v>
      </c>
      <c r="D11" s="89">
        <f>IF(C38&gt;0,C11/C38,0)</f>
        <v>0.20609318996415771</v>
      </c>
      <c r="E11" s="89">
        <f>SUM($D$7:D11)</f>
        <v>0.29211469534050183</v>
      </c>
      <c r="F11" s="12">
        <f t="shared" si="0"/>
        <v>2</v>
      </c>
      <c r="I11" s="90">
        <v>5</v>
      </c>
      <c r="J11" s="90" t="str">
        <f>IFERROR(INDEX(A7:A37,MATCH(LARGE(O7:O37,5),O7:O37,0)),"–")</f>
        <v>NRW</v>
      </c>
      <c r="K11" s="90" t="str">
        <f>IFERROR(INDEX(B7:B37,MATCH(LARGE(O7:O37,5),O7:O37,0)),"–")</f>
        <v>NOK rework</v>
      </c>
      <c r="L11" s="90">
        <f>IFERROR(INDEX(C7:C37,MATCH(LARGE(O7:O37,5),O7:O37,0)),0)</f>
        <v>35</v>
      </c>
      <c r="M11" s="91">
        <f>IFERROR(L11/C38,0)</f>
        <v>6.2724014336917558E-2</v>
      </c>
      <c r="N11" s="91">
        <f>SUM($M$7:M11)</f>
        <v>0.76344086021505375</v>
      </c>
      <c r="O11" s="92">
        <f t="shared" si="1"/>
        <v>115.99988999999999</v>
      </c>
    </row>
    <row r="12" spans="1:15" ht="15" customHeight="1" x14ac:dyDescent="0.25">
      <c r="A12" s="15" t="s">
        <v>9</v>
      </c>
      <c r="B12" s="15" t="s">
        <v>59</v>
      </c>
      <c r="C12" s="15">
        <f>SUMPRODUCT(('Posouzení SKLAD'!AS6:AS205&lt;&gt;"")*('Posouzení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5</v>
      </c>
      <c r="D12" s="93">
        <f>IF(C38&gt;0,C12/C38,0)</f>
        <v>8.9605734767025085E-3</v>
      </c>
      <c r="E12" s="93">
        <f>SUM($D$7:D12)</f>
        <v>0.30107526881720431</v>
      </c>
      <c r="F12" s="15">
        <f t="shared" si="0"/>
        <v>12</v>
      </c>
      <c r="I12" s="94">
        <v>6</v>
      </c>
      <c r="J12" s="94" t="str">
        <f>IFERROR(INDEX(A7:A37,MATCH(LARGE(O7:O37,6),O7:O37,0)),"–")</f>
        <v>PMEP</v>
      </c>
      <c r="K12" s="94" t="str">
        <f>IFERROR(INDEX(B7:B37,MATCH(LARGE(O7:O37,6),O7:O37,0)),"–")</f>
        <v>Mechanické poškození</v>
      </c>
      <c r="L12" s="94">
        <f>IFERROR(INDEX(C7:C37,MATCH(LARGE(O7:O37,6),O7:O37,0)),0)</f>
        <v>32</v>
      </c>
      <c r="M12" s="95">
        <f>IFERROR(L12/C38,0)</f>
        <v>5.7347670250896057E-2</v>
      </c>
      <c r="N12" s="95">
        <f>SUM($M$7:M12)</f>
        <v>0.82078853046594979</v>
      </c>
      <c r="O12" s="92">
        <f t="shared" si="1"/>
        <v>5.9998800000000001</v>
      </c>
    </row>
    <row r="13" spans="1:15" ht="15" customHeight="1" x14ac:dyDescent="0.25">
      <c r="A13" s="12" t="s">
        <v>10</v>
      </c>
      <c r="B13" s="12" t="s">
        <v>60</v>
      </c>
      <c r="C13" s="12">
        <f>SUMPRODUCT(('Posouzení SKLAD'!H6:H205&lt;&gt;"")*('Posouzení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3</v>
      </c>
      <c r="D13" s="89">
        <f>IF(C38&gt;0,C13/C38,0)</f>
        <v>5.3763440860215058E-3</v>
      </c>
      <c r="E13" s="89">
        <f>SUM($D$7:D13)</f>
        <v>0.30645161290322581</v>
      </c>
      <c r="F13" s="12">
        <f t="shared" si="0"/>
        <v>15</v>
      </c>
      <c r="I13" s="90">
        <v>7</v>
      </c>
      <c r="J13" s="90" t="str">
        <f>IFERROR(INDEX(A7:A37,MATCH(LARGE(O7:O37,7),O7:O37,0)),"–")</f>
        <v>KRSS</v>
      </c>
      <c r="K13" s="90" t="str">
        <f>IFERROR(INDEX(B7:B37,MATCH(LARGE(O7:O37,7),O7:O37,0)),"–")</f>
        <v>Kragujevac - short skin</v>
      </c>
      <c r="L13" s="90">
        <f>IFERROR(INDEX(C7:C37,MATCH(LARGE(O7:O37,7),O7:O37,0)),0)</f>
        <v>29</v>
      </c>
      <c r="M13" s="91">
        <f>IFERROR(L13/C38,0)</f>
        <v>5.197132616487455E-2</v>
      </c>
      <c r="N13" s="91">
        <f>SUM($M$7:M13)</f>
        <v>0.87275985663082434</v>
      </c>
      <c r="O13" s="92">
        <f t="shared" si="1"/>
        <v>3.99987</v>
      </c>
    </row>
    <row r="14" spans="1:15" ht="15" customHeight="1" x14ac:dyDescent="0.25">
      <c r="A14" s="15" t="s">
        <v>11</v>
      </c>
      <c r="B14" s="15" t="s">
        <v>61</v>
      </c>
      <c r="C14" s="15">
        <f>SUMPRODUCT(('Posouzení SKLAD'!I6:I205&lt;&gt;"")*('Posouzení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99</v>
      </c>
      <c r="D14" s="93">
        <f>IF(C38&gt;0,C14/C38,0)</f>
        <v>0.17741935483870969</v>
      </c>
      <c r="E14" s="93">
        <f>SUM($D$7:D14)</f>
        <v>0.4838709677419355</v>
      </c>
      <c r="F14" s="15">
        <f t="shared" si="0"/>
        <v>3</v>
      </c>
      <c r="I14" s="94">
        <v>8</v>
      </c>
      <c r="J14" s="94" t="str">
        <f>IFERROR(INDEX(A7:A37,MATCH(LARGE(O7:O37,8),O7:O37,0)),"–")</f>
        <v>KRSW</v>
      </c>
      <c r="K14" s="94" t="str">
        <f>IFERROR(INDEX(B7:B37,MATCH(LARGE(O7:O37,8),O7:O37,0)),"–")</f>
        <v>Kragujevac - sewing</v>
      </c>
      <c r="L14" s="94">
        <f>IFERROR(INDEX(C7:C37,MATCH(LARGE(O7:O37,8),O7:O37,0)),0)</f>
        <v>28</v>
      </c>
      <c r="M14" s="95">
        <f>IFERROR(L14/C38,0)</f>
        <v>5.0179211469534052E-2</v>
      </c>
      <c r="N14" s="95">
        <f>SUM($M$7:M14)</f>
        <v>0.92293906810035842</v>
      </c>
      <c r="O14" s="92">
        <f t="shared" si="1"/>
        <v>99.999859999999998</v>
      </c>
    </row>
    <row r="15" spans="1:15" ht="15" customHeight="1" x14ac:dyDescent="0.25">
      <c r="A15" s="12" t="s">
        <v>12</v>
      </c>
      <c r="B15" s="12" t="s">
        <v>62</v>
      </c>
      <c r="C15" s="12">
        <f>SUMPRODUCT(('Posouzení SKLAD'!J6:J205&lt;&gt;"")*('Posouzení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15" s="89">
        <f>IF(C38&gt;0,C15/C38,0)</f>
        <v>0</v>
      </c>
      <c r="E15" s="89">
        <f>SUM($D$7:D15)</f>
        <v>0.4838709677419355</v>
      </c>
      <c r="F15" s="12">
        <f t="shared" si="0"/>
        <v>18</v>
      </c>
      <c r="I15" s="90">
        <v>9</v>
      </c>
      <c r="J15" s="90" t="str">
        <f>IFERROR(INDEX(A7:A37,MATCH(LARGE(O7:O37,9),O7:O37,0)),"–")</f>
        <v>SSP2</v>
      </c>
      <c r="K15" s="90" t="str">
        <f>IFERROR(INDEX(B7:B37,MATCH(LARGE(O7:O37,9),O7:O37,0)),"–")</f>
        <v>Spálený spacer</v>
      </c>
      <c r="L15" s="90">
        <f>IFERROR(INDEX(C7:C37,MATCH(LARGE(O7:O37,9),O7:O37,0)),0)</f>
        <v>9</v>
      </c>
      <c r="M15" s="91">
        <f>IFERROR(L15/C38,0)</f>
        <v>1.6129032258064516E-2</v>
      </c>
      <c r="N15" s="91">
        <f>SUM($M$7:M15)</f>
        <v>0.93906810035842292</v>
      </c>
      <c r="O15" s="92">
        <f t="shared" si="1"/>
        <v>0.99985000000000002</v>
      </c>
    </row>
    <row r="16" spans="1:15" ht="15" customHeight="1" x14ac:dyDescent="0.25">
      <c r="A16" s="15" t="s">
        <v>13</v>
      </c>
      <c r="B16" s="15" t="s">
        <v>63</v>
      </c>
      <c r="C16" s="15">
        <f>SUMPRODUCT(('Posouzení SKLAD'!K6:K205&lt;&gt;"")*('Posouzení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4</v>
      </c>
      <c r="D16" s="93">
        <f>IF(C38&gt;0,C16/C38,0)</f>
        <v>7.1684587813620072E-3</v>
      </c>
      <c r="E16" s="93">
        <f>SUM($D$7:D16)</f>
        <v>0.49103942652329752</v>
      </c>
      <c r="F16" s="15">
        <f t="shared" si="0"/>
        <v>13</v>
      </c>
      <c r="I16" s="94">
        <v>10</v>
      </c>
      <c r="J16" s="94" t="str">
        <f>IFERROR(INDEX(A7:A37,MATCH(LARGE(O7:O37,10),O7:O37,0)),"–")</f>
        <v>PSKU</v>
      </c>
      <c r="K16" s="94" t="str">
        <f>IFERROR(INDEX(B7:B37,MATCH(LARGE(O7:O37,10),O7:O37,0)),"–")</f>
        <v>Spálená kůže</v>
      </c>
      <c r="L16" s="94">
        <f>IFERROR(INDEX(C7:C37,MATCH(LARGE(O7:O37,10),O7:O37,0)),0)</f>
        <v>7</v>
      </c>
      <c r="M16" s="95">
        <f>IFERROR(L16/C38,0)</f>
        <v>1.2544802867383513E-2</v>
      </c>
      <c r="N16" s="95">
        <f>SUM($M$7:M16)</f>
        <v>0.95161290322580638</v>
      </c>
      <c r="O16" s="92">
        <f t="shared" si="1"/>
        <v>4.9998399999999998</v>
      </c>
    </row>
    <row r="17" spans="1:15" ht="15" customHeight="1" x14ac:dyDescent="0.25">
      <c r="A17" s="12" t="s">
        <v>14</v>
      </c>
      <c r="B17" s="12" t="s">
        <v>64</v>
      </c>
      <c r="C17" s="12">
        <f>SUMPRODUCT(('Posouzení SKLAD'!L6:L205&lt;&gt;"")*('Posouzení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17" s="89">
        <f>IF(C38&gt;0,C17/C38,0)</f>
        <v>0</v>
      </c>
      <c r="E17" s="89">
        <f>SUM($D$7:D17)</f>
        <v>0.49103942652329752</v>
      </c>
      <c r="F17" s="12">
        <f t="shared" si="0"/>
        <v>18</v>
      </c>
      <c r="I17" s="90">
        <v>11</v>
      </c>
      <c r="J17" s="90" t="str">
        <f>IFERROR(INDEX(A7:A37,MATCH(LARGE(O7:O37,11),O7:O37,0)),"–")</f>
        <v>PDEP</v>
      </c>
      <c r="K17" s="90" t="str">
        <f>IFERROR(INDEX(B7:B37,MATCH(LARGE(O7:O37,11),O7:O37,0)),"–")</f>
        <v>Deformace plastu</v>
      </c>
      <c r="L17" s="90">
        <f>IFERROR(INDEX(C7:C37,MATCH(LARGE(O7:O37,11),O7:O37,0)),0)</f>
        <v>7</v>
      </c>
      <c r="M17" s="91">
        <f>IFERROR(L17/C38,0)</f>
        <v>1.2544802867383513E-2</v>
      </c>
      <c r="N17" s="91">
        <f>SUM($M$7:M17)</f>
        <v>0.96415770609318985</v>
      </c>
      <c r="O17" s="92">
        <f t="shared" si="1"/>
        <v>0.99983</v>
      </c>
    </row>
    <row r="18" spans="1:15" ht="15" customHeight="1" x14ac:dyDescent="0.25">
      <c r="A18" s="15" t="s">
        <v>15</v>
      </c>
      <c r="B18" s="15" t="s">
        <v>65</v>
      </c>
      <c r="C18" s="15">
        <f>SUMPRODUCT(('Posouzení SKLAD'!M6:M205&lt;&gt;"")*('Posouzení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18" s="93">
        <f>IF(C38&gt;0,C18/C38,0)</f>
        <v>0</v>
      </c>
      <c r="E18" s="93">
        <f>SUM($D$7:D18)</f>
        <v>0.49103942652329752</v>
      </c>
      <c r="F18" s="15">
        <f t="shared" si="0"/>
        <v>18</v>
      </c>
      <c r="I18" s="94">
        <v>12</v>
      </c>
      <c r="J18" s="94" t="str">
        <f>IFERROR(INDEX(A7:A37,MATCH(LARGE(O7:O37,12),O7:O37,0)),"–")</f>
        <v>PSNA</v>
      </c>
      <c r="K18" s="94" t="str">
        <f>IFERROR(INDEX(B7:B37,MATCH(LARGE(O7:O37,12),O7:O37,0)),"–")</f>
        <v>Špatný nástřih</v>
      </c>
      <c r="L18" s="94">
        <f>IFERROR(INDEX(C7:C37,MATCH(LARGE(O7:O37,12),O7:O37,0)),0)</f>
        <v>5</v>
      </c>
      <c r="M18" s="95">
        <f>IFERROR(L18/C38,0)</f>
        <v>8.9605734767025085E-3</v>
      </c>
      <c r="N18" s="95">
        <f>SUM($M$7:M18)</f>
        <v>0.97311827956989239</v>
      </c>
      <c r="O18" s="92">
        <f t="shared" si="1"/>
        <v>0.99982000000000004</v>
      </c>
    </row>
    <row r="19" spans="1:15" ht="15" customHeight="1" x14ac:dyDescent="0.25">
      <c r="A19" s="12" t="s">
        <v>16</v>
      </c>
      <c r="B19" s="12" t="s">
        <v>66</v>
      </c>
      <c r="C19" s="12">
        <f>SUMPRODUCT(('Posouzení SKLAD'!N6:N205&lt;&gt;"")*('Posouzení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19" s="89">
        <f>IF(C38&gt;0,C19/C38,0)</f>
        <v>0</v>
      </c>
      <c r="E19" s="89">
        <f>SUM($D$7:D19)</f>
        <v>0.49103942652329752</v>
      </c>
      <c r="F19" s="12">
        <f t="shared" si="0"/>
        <v>18</v>
      </c>
      <c r="I19" s="90">
        <v>13</v>
      </c>
      <c r="J19" s="90" t="str">
        <f>IFERROR(INDEX(A7:A37,MATCH(LARGE(O7:O37,13),O7:O37,0)),"–")</f>
        <v>ZVR</v>
      </c>
      <c r="K19" s="90" t="str">
        <f>IFERROR(INDEX(B7:B37,MATCH(LARGE(O7:O37,13),O7:O37,0)),"–")</f>
        <v>Zvrásnění povrchu</v>
      </c>
      <c r="L19" s="90">
        <f>IFERROR(INDEX(C7:C37,MATCH(LARGE(O7:O37,13),O7:O37,0)),0)</f>
        <v>4</v>
      </c>
      <c r="M19" s="91">
        <f>IFERROR(L19/C38,0)</f>
        <v>7.1684587813620072E-3</v>
      </c>
      <c r="N19" s="91">
        <f>SUM($M$7:M19)</f>
        <v>0.98028673835125435</v>
      </c>
      <c r="O19" s="92">
        <f t="shared" si="1"/>
        <v>0.99980999999999998</v>
      </c>
    </row>
    <row r="20" spans="1:15" ht="15" customHeight="1" x14ac:dyDescent="0.25">
      <c r="A20" s="15" t="s">
        <v>17</v>
      </c>
      <c r="B20" s="15" t="s">
        <v>67</v>
      </c>
      <c r="C20" s="15">
        <f>SUMPRODUCT(('Posouzení SKLAD'!O6:O205&lt;&gt;"")*('Posouzení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7</v>
      </c>
      <c r="D20" s="93">
        <f>IF(C38&gt;0,C20/C38,0)</f>
        <v>1.2544802867383513E-2</v>
      </c>
      <c r="E20" s="93">
        <f>SUM($D$7:D20)</f>
        <v>0.50358422939068104</v>
      </c>
      <c r="F20" s="15">
        <f t="shared" si="0"/>
        <v>10</v>
      </c>
      <c r="I20" s="94">
        <v>14</v>
      </c>
      <c r="J20" s="94" t="str">
        <f>IFERROR(INDEX(A7:A37,MATCH(LARGE(O7:O37,14),O7:O37,0)),"–")</f>
        <v>OTL</v>
      </c>
      <c r="K20" s="94" t="str">
        <f>IFERROR(INDEX(B7:B37,MATCH(LARGE(O7:O37,14),O7:O37,0)),"–")</f>
        <v>Otlak</v>
      </c>
      <c r="L20" s="94">
        <f>IFERROR(INDEX(C7:C37,MATCH(LARGE(O7:O37,14),O7:O37,0)),0)</f>
        <v>4</v>
      </c>
      <c r="M20" s="95">
        <f>IFERROR(L20/C38,0)</f>
        <v>7.1684587813620072E-3</v>
      </c>
      <c r="N20" s="95">
        <f>SUM($M$7:M20)</f>
        <v>0.98745519713261631</v>
      </c>
      <c r="O20" s="92">
        <f t="shared" si="1"/>
        <v>7.9998000000000005</v>
      </c>
    </row>
    <row r="21" spans="1:15" ht="15" customHeight="1" x14ac:dyDescent="0.25">
      <c r="A21" s="12" t="s">
        <v>18</v>
      </c>
      <c r="B21" s="12" t="s">
        <v>68</v>
      </c>
      <c r="C21" s="12">
        <f>SUMPRODUCT(('Posouzení SKLAD'!P6:P205&lt;&gt;"")*('Posouzení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21" s="89">
        <f>IF(C38&gt;0,C21/C38,0)</f>
        <v>0</v>
      </c>
      <c r="E21" s="89">
        <f>SUM($D$7:D21)</f>
        <v>0.50358422939068104</v>
      </c>
      <c r="F21" s="12">
        <f t="shared" si="0"/>
        <v>18</v>
      </c>
      <c r="I21" s="90">
        <v>15</v>
      </c>
      <c r="J21" s="90" t="str">
        <f>IFERROR(INDEX(A7:A37,MATCH(LARGE(O7:O37,15),O7:O37,0)),"–")</f>
        <v>LEP</v>
      </c>
      <c r="K21" s="90" t="str">
        <f>IFERROR(INDEX(B7:B37,MATCH(LARGE(O7:O37,15),O7:O37,0)),"–")</f>
        <v>Špatně nanesené lepidlo</v>
      </c>
      <c r="L21" s="90">
        <f>IFERROR(INDEX(C7:C37,MATCH(LARGE(O7:O37,15),O7:O37,0)),0)</f>
        <v>3</v>
      </c>
      <c r="M21" s="91">
        <f>IFERROR(L21/C38,0)</f>
        <v>5.3763440860215058E-3</v>
      </c>
      <c r="N21" s="91">
        <f>SUM($M$7:M21)</f>
        <v>0.99283154121863781</v>
      </c>
      <c r="O21" s="92">
        <f t="shared" si="1"/>
        <v>0.99978999999999996</v>
      </c>
    </row>
    <row r="22" spans="1:15" ht="15" customHeight="1" x14ac:dyDescent="0.25">
      <c r="A22" s="15" t="s">
        <v>24</v>
      </c>
      <c r="B22" s="15" t="s">
        <v>74</v>
      </c>
      <c r="C22" s="15">
        <f>SUMPRODUCT(('Posouzení SKLAD'!V6:V205&lt;&gt;"")*('Posouzení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4</v>
      </c>
      <c r="D22" s="93">
        <f>IF(C38&gt;0,C22/C38,0)</f>
        <v>7.1684587813620072E-3</v>
      </c>
      <c r="E22" s="93">
        <f>SUM($D$7:D22)</f>
        <v>0.510752688172043</v>
      </c>
      <c r="F22" s="15">
        <f t="shared" si="0"/>
        <v>13</v>
      </c>
      <c r="I22" s="94">
        <v>16</v>
      </c>
      <c r="J22" s="94" t="str">
        <f>IFERROR(INDEX(A7:A37,MATCH(LARGE(O7:O37,16),O7:O37,0)),"–")</f>
        <v>FLEK</v>
      </c>
      <c r="K22" s="94" t="str">
        <f>IFERROR(INDEX(B7:B37,MATCH(LARGE(O7:O37,16),O7:O37,0)),"–")</f>
        <v>Flek</v>
      </c>
      <c r="L22" s="94">
        <f>IFERROR(INDEX(C7:C37,MATCH(LARGE(O7:O37,16),O7:O37,0)),0)</f>
        <v>3</v>
      </c>
      <c r="M22" s="95">
        <f>IFERROR(L22/C38,0)</f>
        <v>5.3763440860215058E-3</v>
      </c>
      <c r="N22" s="95">
        <f>SUM($M$7:M22)</f>
        <v>0.99820788530465931</v>
      </c>
      <c r="O22" s="92">
        <f t="shared" si="1"/>
        <v>4.9997800000000003</v>
      </c>
    </row>
    <row r="23" spans="1:15" ht="15" customHeight="1" x14ac:dyDescent="0.25">
      <c r="A23" s="12" t="s">
        <v>26</v>
      </c>
      <c r="B23" s="12" t="s">
        <v>76</v>
      </c>
      <c r="C23" s="12">
        <f>SUMPRODUCT(('Posouzení SKLAD'!W6:W205&lt;&gt;"")*('Posouzení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35</v>
      </c>
      <c r="D23" s="89">
        <f>IF(C38&gt;0,C23/C38,0)</f>
        <v>6.2724014336917558E-2</v>
      </c>
      <c r="E23" s="89">
        <f>SUM($D$7:D23)</f>
        <v>0.57347670250896055</v>
      </c>
      <c r="F23" s="12">
        <f t="shared" si="0"/>
        <v>5</v>
      </c>
      <c r="I23" s="90">
        <v>17</v>
      </c>
      <c r="J23" s="90" t="str">
        <f>IFERROR(INDEX(A7:A37,MATCH(LARGE(O7:O37,17),O7:O37,0)),"–")</f>
        <v>PSKZ</v>
      </c>
      <c r="K23" s="90" t="str">
        <f>IFERROR(INDEX(B7:B37,MATCH(LARGE(O7:O37,17),O7:O37,0)),"–")</f>
        <v>Špatná kůže</v>
      </c>
      <c r="L23" s="90">
        <f>IFERROR(INDEX(C7:C37,MATCH(LARGE(O7:O37,17),O7:O37,0)),0)</f>
        <v>1</v>
      </c>
      <c r="M23" s="91">
        <f>IFERROR(L23/C38,0)</f>
        <v>1.7921146953405018E-3</v>
      </c>
      <c r="N23" s="91">
        <f>SUM($M$7:M23)</f>
        <v>0.99999999999999978</v>
      </c>
      <c r="O23" s="92">
        <f t="shared" si="1"/>
        <v>35.999769999999998</v>
      </c>
    </row>
    <row r="24" spans="1:15" ht="15" customHeight="1" x14ac:dyDescent="0.25">
      <c r="A24" s="15" t="s">
        <v>27</v>
      </c>
      <c r="B24" s="15" t="s">
        <v>77</v>
      </c>
      <c r="C24" s="15">
        <f>SUMPRODUCT(('Posouzení SKLAD'!X6:X205&lt;&gt;"")*('Posouzení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48</v>
      </c>
      <c r="D24" s="93">
        <f>IF(C38&gt;0,C24/C38,0)</f>
        <v>8.6021505376344093E-2</v>
      </c>
      <c r="E24" s="93">
        <f>SUM($D$7:D24)</f>
        <v>0.65949820788530467</v>
      </c>
      <c r="F24" s="15">
        <f t="shared" si="0"/>
        <v>4</v>
      </c>
      <c r="I24" s="94">
        <v>18</v>
      </c>
      <c r="J24" s="94" t="str">
        <f>IFERROR(INDEX(A7:A37,MATCH(LARGE(O7:O37,18),O7:O37,0)),"–")</f>
        <v>OHN2</v>
      </c>
      <c r="K24" s="94" t="str">
        <f>IFERROR(INDEX(B7:B37,MATCH(LARGE(O7:O37,18),O7:O37,0)),"–")</f>
        <v>Odřená hrana</v>
      </c>
      <c r="L24" s="94">
        <f>IFERROR(INDEX(C7:C37,MATCH(LARGE(O7:O37,18),O7:O37,0)),0)</f>
        <v>0</v>
      </c>
      <c r="M24" s="95">
        <f>IFERROR(L24/C38,0)</f>
        <v>0</v>
      </c>
      <c r="N24" s="95">
        <f>SUM($M$7:M24)</f>
        <v>0.99999999999999978</v>
      </c>
      <c r="O24" s="92">
        <f t="shared" si="1"/>
        <v>48.999760000000002</v>
      </c>
    </row>
    <row r="25" spans="1:15" ht="15" customHeight="1" x14ac:dyDescent="0.25">
      <c r="A25" s="12" t="s">
        <v>28</v>
      </c>
      <c r="B25" s="12" t="s">
        <v>78</v>
      </c>
      <c r="C25" s="12">
        <f>SUMPRODUCT(('Posouzení SKLAD'!Z6:Z205&lt;&gt;"")*('Posouzení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25" s="89">
        <f>IF(C38&gt;0,C25/C38,0)</f>
        <v>0</v>
      </c>
      <c r="E25" s="89">
        <f>SUM($D$7:D25)</f>
        <v>0.65949820788530467</v>
      </c>
      <c r="F25" s="12">
        <f t="shared" si="0"/>
        <v>18</v>
      </c>
      <c r="I25" s="90">
        <v>19</v>
      </c>
      <c r="J25" s="90" t="str">
        <f>IFERROR(INDEX(A7:A37,MATCH(LARGE(O7:O37,19),O7:O37,0)),"–")</f>
        <v>PSMK</v>
      </c>
      <c r="K25" s="90" t="str">
        <f>IFERROR(INDEX(B7:B37,MATCH(LARGE(O7:O37,19),O7:O37,0)),"–")</f>
        <v>Šev mimo kanál</v>
      </c>
      <c r="L25" s="90">
        <f>IFERROR(INDEX(C7:C37,MATCH(LARGE(O7:O37,19),O7:O37,0)),0)</f>
        <v>0</v>
      </c>
      <c r="M25" s="91">
        <f>IFERROR(L25/C38,0)</f>
        <v>0</v>
      </c>
      <c r="N25" s="91">
        <f>SUM($M$7:M25)</f>
        <v>0.99999999999999978</v>
      </c>
      <c r="O25" s="92">
        <f t="shared" si="1"/>
        <v>0.99975000000000003</v>
      </c>
    </row>
    <row r="26" spans="1:15" ht="15" customHeight="1" x14ac:dyDescent="0.25">
      <c r="A26" s="15" t="s">
        <v>29</v>
      </c>
      <c r="B26" s="15" t="s">
        <v>79</v>
      </c>
      <c r="C26" s="15">
        <f>SUMPRODUCT(('Posouzení SKLAD'!AA6:AA205&lt;&gt;"")*('Posouzení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26" s="93">
        <f>IF(C38&gt;0,C26/C38,0)</f>
        <v>0</v>
      </c>
      <c r="E26" s="93">
        <f>SUM($D$7:D26)</f>
        <v>0.65949820788530467</v>
      </c>
      <c r="F26" s="15">
        <f t="shared" si="0"/>
        <v>18</v>
      </c>
      <c r="I26" s="94">
        <v>20</v>
      </c>
      <c r="J26" s="94" t="str">
        <f>IFERROR(INDEX(A7:A37,MATCH(LARGE(O7:O37,20),O7:O37,0)),"–")</f>
        <v>LAB</v>
      </c>
      <c r="K26" s="94" t="str">
        <f>IFERROR(INDEX(B7:B37,MATCH(LARGE(O7:O37,20),O7:O37,0)),"–")</f>
        <v>Testy laboratoř</v>
      </c>
      <c r="L26" s="94">
        <f>IFERROR(INDEX(C7:C37,MATCH(LARGE(O7:O37,20),O7:O37,0)),0)</f>
        <v>0</v>
      </c>
      <c r="M26" s="95">
        <f>IFERROR(L26/C38,0)</f>
        <v>0</v>
      </c>
      <c r="N26" s="95">
        <f>SUM($M$7:M26)</f>
        <v>0.99999999999999978</v>
      </c>
      <c r="O26" s="92">
        <f t="shared" si="1"/>
        <v>0.99973999999999996</v>
      </c>
    </row>
    <row r="27" spans="1:15" ht="15" customHeight="1" x14ac:dyDescent="0.25">
      <c r="A27" s="12" t="s">
        <v>30</v>
      </c>
      <c r="B27" s="12" t="s">
        <v>80</v>
      </c>
      <c r="C27" s="12">
        <f>SUMPRODUCT(('Posouzení SKLAD'!AB6:AB205&lt;&gt;"")*('Posouzení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27" s="89">
        <f>IF(C38&gt;0,C27/C38,0)</f>
        <v>0</v>
      </c>
      <c r="E27" s="89">
        <f>SUM($D$7:D27)</f>
        <v>0.65949820788530467</v>
      </c>
      <c r="F27" s="12">
        <f t="shared" si="0"/>
        <v>18</v>
      </c>
      <c r="I27" s="90">
        <v>21</v>
      </c>
      <c r="J27" s="90" t="str">
        <f>IFERROR(INDEX(A7:A37,MATCH(LARGE(O7:O37,21),O7:O37,0)),"–")</f>
        <v>PKOL</v>
      </c>
      <c r="K27" s="90" t="str">
        <f>IFERROR(INDEX(B7:B37,MATCH(LARGE(O7:O37,21),O7:O37,0)),"–")</f>
        <v>Kontaminace lepidlem</v>
      </c>
      <c r="L27" s="90">
        <f>IFERROR(INDEX(C7:C37,MATCH(LARGE(O7:O37,21),O7:O37,0)),0)</f>
        <v>0</v>
      </c>
      <c r="M27" s="91">
        <f>IFERROR(L27/C38,0)</f>
        <v>0</v>
      </c>
      <c r="N27" s="91">
        <f>SUM($M$7:M27)</f>
        <v>0.99999999999999978</v>
      </c>
      <c r="O27" s="92">
        <f t="shared" si="1"/>
        <v>0.99973000000000001</v>
      </c>
    </row>
    <row r="28" spans="1:15" ht="15" customHeight="1" x14ac:dyDescent="0.25">
      <c r="A28" s="15" t="s">
        <v>34</v>
      </c>
      <c r="B28" s="15" t="s">
        <v>84</v>
      </c>
      <c r="C28" s="15">
        <f>SUMPRODUCT(('Posouzení SKLAD'!AF6:AF205&lt;&gt;"")*('Posouzení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3</v>
      </c>
      <c r="D28" s="93">
        <f>IF(C38&gt;0,C28/C38,0)</f>
        <v>5.3763440860215058E-3</v>
      </c>
      <c r="E28" s="93">
        <f>SUM($D$7:D28)</f>
        <v>0.66487455197132617</v>
      </c>
      <c r="F28" s="15">
        <f t="shared" si="0"/>
        <v>15</v>
      </c>
      <c r="I28" s="94">
        <v>22</v>
      </c>
      <c r="J28" s="94" t="str">
        <f>IFERROR(INDEX(A7:A37,MATCH(LARGE(O7:O37,22),O7:O37,0)),"–")</f>
        <v>PELC</v>
      </c>
      <c r="K28" s="94" t="str">
        <f>IFERROR(INDEX(B7:B37,MATCH(LARGE(O7:O37,22),O7:O37,0)),"–")</f>
        <v>Expirované lepidlo na MC</v>
      </c>
      <c r="L28" s="94">
        <f>IFERROR(INDEX(C7:C37,MATCH(LARGE(O7:O37,22),O7:O37,0)),0)</f>
        <v>0</v>
      </c>
      <c r="M28" s="95">
        <f>IFERROR(L28/C38,0)</f>
        <v>0</v>
      </c>
      <c r="N28" s="95">
        <f>SUM($M$7:M28)</f>
        <v>0.99999999999999978</v>
      </c>
      <c r="O28" s="92">
        <f t="shared" si="1"/>
        <v>3.9997199999999999</v>
      </c>
    </row>
    <row r="29" spans="1:15" ht="15" customHeight="1" x14ac:dyDescent="0.25">
      <c r="A29" s="12" t="s">
        <v>36</v>
      </c>
      <c r="B29" s="12" t="s">
        <v>86</v>
      </c>
      <c r="C29" s="12">
        <f>SUMPRODUCT(('Posouzení SKLAD'!AH6:AH205&lt;&gt;"")*('Posouzení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29" s="89">
        <f>IF(C38&gt;0,C29/C38,0)</f>
        <v>0</v>
      </c>
      <c r="E29" s="89">
        <f>SUM($D$7:D29)</f>
        <v>0.66487455197132617</v>
      </c>
      <c r="F29" s="12">
        <f t="shared" si="0"/>
        <v>18</v>
      </c>
      <c r="I29" s="90">
        <v>23</v>
      </c>
      <c r="J29" s="90" t="str">
        <f>IFERROR(INDEX(A7:A37,MATCH(LARGE(O7:O37,23),O7:O37,0)),"–")</f>
        <v>PNHE</v>
      </c>
      <c r="K29" s="90" t="str">
        <f>IFERROR(INDEX(B7:B37,MATCH(LARGE(O7:O37,23),O7:O37,0)),"–")</f>
        <v>Nefunkční heating</v>
      </c>
      <c r="L29" s="90">
        <f>IFERROR(INDEX(C7:C37,MATCH(LARGE(O7:O37,23),O7:O37,0)),0)</f>
        <v>0</v>
      </c>
      <c r="M29" s="91">
        <f>IFERROR(L29/C38,0)</f>
        <v>0</v>
      </c>
      <c r="N29" s="91">
        <f>SUM($M$7:M29)</f>
        <v>0.99999999999999978</v>
      </c>
      <c r="O29" s="92">
        <f t="shared" si="1"/>
        <v>0.99970999999999999</v>
      </c>
    </row>
    <row r="30" spans="1:15" ht="15" customHeight="1" x14ac:dyDescent="0.25">
      <c r="A30" s="15" t="s">
        <v>37</v>
      </c>
      <c r="B30" s="15" t="s">
        <v>87</v>
      </c>
      <c r="C30" s="15">
        <f>SUMPRODUCT(('Posouzení SKLAD'!AI6:AI205&lt;&gt;"")*('Posouzení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1</v>
      </c>
      <c r="D30" s="93">
        <f>IF(C38&gt;0,C30/C38,0)</f>
        <v>1.7921146953405018E-3</v>
      </c>
      <c r="E30" s="93">
        <f>SUM($D$7:D30)</f>
        <v>0.66666666666666663</v>
      </c>
      <c r="F30" s="15">
        <f t="shared" si="0"/>
        <v>17</v>
      </c>
      <c r="I30" s="94">
        <v>24</v>
      </c>
      <c r="J30" s="94" t="str">
        <f>IFERROR(INDEX(A7:A37,MATCH(LARGE(O7:O37,24),O7:O37,0)),"–")</f>
        <v>DEL</v>
      </c>
      <c r="K30" s="94" t="str">
        <f>IFERROR(INDEX(B7:B37,MATCH(LARGE(O7:O37,24),O7:O37,0)),"–")</f>
        <v>Delaminace (hrany)</v>
      </c>
      <c r="L30" s="94">
        <f>IFERROR(INDEX(C7:C37,MATCH(LARGE(O7:O37,24),O7:O37,0)),0)</f>
        <v>0</v>
      </c>
      <c r="M30" s="95">
        <f>IFERROR(L30/C38,0)</f>
        <v>0</v>
      </c>
      <c r="N30" s="95">
        <f>SUM($M$7:M30)</f>
        <v>0.99999999999999978</v>
      </c>
      <c r="O30" s="92">
        <f t="shared" si="1"/>
        <v>1.9997</v>
      </c>
    </row>
    <row r="31" spans="1:15" ht="19.5" customHeight="1" x14ac:dyDescent="0.25">
      <c r="A31" s="12" t="s">
        <v>38</v>
      </c>
      <c r="B31" s="12" t="s">
        <v>88</v>
      </c>
      <c r="C31" s="12">
        <f>SUMPRODUCT(('Posouzení SKLAD'!AJ6:AJ205&lt;&gt;"")*('Posouzení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31" s="89">
        <f>IF(C38&gt;0,C31/C38,0)</f>
        <v>0</v>
      </c>
      <c r="E31" s="89">
        <f>SUM($D$7:D31)</f>
        <v>0.66666666666666663</v>
      </c>
      <c r="F31" s="12">
        <f t="shared" si="0"/>
        <v>18</v>
      </c>
      <c r="I31" s="90">
        <v>25</v>
      </c>
      <c r="J31" s="90" t="str">
        <f>IFERROR(INDEX(A7:A37,MATCH(LARGE(O7:O37,25),O7:O37,0)),"–")</f>
        <v>PDEL</v>
      </c>
      <c r="K31" s="90" t="str">
        <f>IFERROR(INDEX(B7:B37,MATCH(LARGE(O7:O37,25),O7:O37,0)),"–")</f>
        <v>Delaminace (plochy)</v>
      </c>
      <c r="L31" s="90">
        <f>IFERROR(INDEX(C7:C37,MATCH(LARGE(O7:O37,25),O7:O37,0)),0)</f>
        <v>0</v>
      </c>
      <c r="M31" s="91">
        <f>IFERROR(L31/C38,0)</f>
        <v>0</v>
      </c>
      <c r="N31" s="91">
        <f>SUM($M$7:M31)</f>
        <v>0.99999999999999978</v>
      </c>
      <c r="O31" s="92">
        <f t="shared" si="1"/>
        <v>0.99968999999999997</v>
      </c>
    </row>
    <row r="32" spans="1:15" ht="15" customHeight="1" x14ac:dyDescent="0.25">
      <c r="A32" s="15" t="s">
        <v>39</v>
      </c>
      <c r="B32" s="15" t="s">
        <v>89</v>
      </c>
      <c r="C32" s="15">
        <f>SUMPRODUCT(('Posouzení SKLAD'!AK6:AK205&lt;&gt;"")*('Posouzení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32" s="93">
        <f>IF(C38&gt;0,C32/C38,0)</f>
        <v>0</v>
      </c>
      <c r="E32" s="93">
        <f>SUM($D$7:D32)</f>
        <v>0.66666666666666663</v>
      </c>
      <c r="F32" s="15">
        <f t="shared" si="0"/>
        <v>18</v>
      </c>
      <c r="I32" s="94">
        <v>26</v>
      </c>
      <c r="J32" s="94" t="str">
        <f>IFERROR(INDEX(A7:A37,MATCH(LARGE(O7:O37,26),O7:O37,0)),"–")</f>
        <v>ZHN</v>
      </c>
      <c r="K32" s="94" t="str">
        <f>IFERROR(INDEX(B7:B37,MATCH(LARGE(O7:O37,26),O7:O37,0)),"–")</f>
        <v>Zahranění NOK</v>
      </c>
      <c r="L32" s="94">
        <f>IFERROR(INDEX(C7:C37,MATCH(LARGE(O7:O37,26),O7:O37,0)),0)</f>
        <v>0</v>
      </c>
      <c r="M32" s="95">
        <f>IFERROR(L32/C38,0)</f>
        <v>0</v>
      </c>
      <c r="N32" s="95">
        <f>SUM($M$7:M32)</f>
        <v>0.99999999999999978</v>
      </c>
      <c r="O32" s="92">
        <f t="shared" si="1"/>
        <v>0.99968000000000001</v>
      </c>
    </row>
    <row r="33" spans="1:15" ht="15" customHeight="1" x14ac:dyDescent="0.25">
      <c r="A33" s="12" t="s">
        <v>41</v>
      </c>
      <c r="B33" s="12" t="s">
        <v>91</v>
      </c>
      <c r="C33" s="12">
        <f>SUMPRODUCT(('Posouzení SKLAD'!AM6:AM205&lt;&gt;"")*('Posouzení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33" s="89">
        <f>IF(C38&gt;0,C33/C38,0)</f>
        <v>0</v>
      </c>
      <c r="E33" s="89">
        <f>SUM($D$7:D33)</f>
        <v>0.66666666666666663</v>
      </c>
      <c r="F33" s="12">
        <f t="shared" si="0"/>
        <v>18</v>
      </c>
      <c r="I33" s="90">
        <v>27</v>
      </c>
      <c r="J33" s="90" t="str">
        <f>IFERROR(INDEX(A7:A37,MATCH(LARGE(O7:O37,27),O7:O37,0)),"–")</f>
        <v>PSPC</v>
      </c>
      <c r="K33" s="90" t="str">
        <f>IFERROR(INDEX(B7:B37,MATCH(LARGE(O7:O37,27),O7:O37,0)),"–")</f>
        <v>Špatný spacer</v>
      </c>
      <c r="L33" s="90">
        <f>IFERROR(INDEX(C7:C37,MATCH(LARGE(O7:O37,27),O7:O37,0)),0)</f>
        <v>0</v>
      </c>
      <c r="M33" s="91">
        <f>IFERROR(L33/C38,0)</f>
        <v>0</v>
      </c>
      <c r="N33" s="91">
        <f>SUM($M$7:M33)</f>
        <v>0.99999999999999978</v>
      </c>
      <c r="O33" s="92">
        <f t="shared" si="1"/>
        <v>0.99966999999999995</v>
      </c>
    </row>
    <row r="34" spans="1:15" ht="15" customHeight="1" x14ac:dyDescent="0.25">
      <c r="A34" s="15" t="s">
        <v>43</v>
      </c>
      <c r="B34" s="15" t="s">
        <v>93</v>
      </c>
      <c r="C34" s="15">
        <f>SUMPRODUCT(('Posouzení SKLAD'!AO6:AO205&lt;&gt;"")*('Posouzení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0</v>
      </c>
      <c r="D34" s="93">
        <f>IF(C38&gt;0,C34/C38,0)</f>
        <v>0</v>
      </c>
      <c r="E34" s="93">
        <f>SUM($D$7:D34)</f>
        <v>0.66666666666666663</v>
      </c>
      <c r="F34" s="15">
        <f t="shared" si="0"/>
        <v>18</v>
      </c>
      <c r="I34" s="94">
        <v>28</v>
      </c>
      <c r="J34" s="94" t="str">
        <f>IFERROR(INDEX(A7:A37,MATCH(LARGE(O7:O37,28),O7:O37,0)),"–")</f>
        <v>PSHC</v>
      </c>
      <c r="K34" s="94" t="str">
        <f>IFERROR(INDEX(B7:B37,MATCH(LARGE(O7:O37,28),O7:O37,0)),"–")</f>
        <v>Špatný heating spacer</v>
      </c>
      <c r="L34" s="94">
        <f>IFERROR(INDEX(C7:C37,MATCH(LARGE(O7:O37,28),O7:O37,0)),0)</f>
        <v>0</v>
      </c>
      <c r="M34" s="95">
        <f>IFERROR(L34/C38,0)</f>
        <v>0</v>
      </c>
      <c r="N34" s="95">
        <f>SUM($M$7:M34)</f>
        <v>0.99999999999999978</v>
      </c>
      <c r="O34" s="92">
        <f t="shared" si="1"/>
        <v>0.99965999999999999</v>
      </c>
    </row>
    <row r="35" spans="1:15" ht="15" customHeight="1" x14ac:dyDescent="0.25">
      <c r="A35" s="96" t="s">
        <v>47</v>
      </c>
      <c r="B35" s="96" t="s">
        <v>97</v>
      </c>
      <c r="C35" s="96">
        <f>SUMPRODUCT(('Posouzení SKLAD'!AU6:AU205&lt;&gt;"")*('Posouzení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28</v>
      </c>
      <c r="D35" s="97">
        <f>IF(C38&gt;0,C35/C38,0)</f>
        <v>5.0179211469534052E-2</v>
      </c>
      <c r="E35" s="97">
        <f>SUM($D$7:D35)</f>
        <v>0.71684587813620071</v>
      </c>
      <c r="F35" s="96">
        <f t="shared" si="0"/>
        <v>8</v>
      </c>
      <c r="I35" s="90">
        <v>29</v>
      </c>
      <c r="J35" s="90" t="str">
        <f>IFERROR(INDEX(A7:A37,MATCH(LARGE(O7:O37,29),O7:O37,0)),"–")</f>
        <v>PSMC</v>
      </c>
      <c r="K35" s="90" t="str">
        <f>IFERROR(INDEX(B7:B37,MATCH(LARGE(O7:O37,29),O7:O37,0)),"–")</f>
        <v>Špatný plastový MC</v>
      </c>
      <c r="L35" s="90">
        <f>IFERROR(INDEX(C7:C37,MATCH(LARGE(O7:O37,29),O7:O37,0)),0)</f>
        <v>0</v>
      </c>
      <c r="M35" s="91">
        <f>IFERROR(L35/C38,0)</f>
        <v>0</v>
      </c>
      <c r="N35" s="91">
        <f>SUM($M$7:M35)</f>
        <v>0.99999999999999978</v>
      </c>
      <c r="O35" s="92">
        <f t="shared" si="1"/>
        <v>28.999649999999999</v>
      </c>
    </row>
    <row r="36" spans="1:15" ht="15" customHeight="1" x14ac:dyDescent="0.25">
      <c r="A36" s="98" t="s">
        <v>48</v>
      </c>
      <c r="B36" s="98" t="s">
        <v>98</v>
      </c>
      <c r="C36" s="98">
        <f>SUMPRODUCT(('Posouzení SKLAD'!AV6:AV205&lt;&gt;"")*('Posouzení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129</v>
      </c>
      <c r="D36" s="99">
        <f>IF(C38&gt;0,C36/C38,0)</f>
        <v>0.23118279569892472</v>
      </c>
      <c r="E36" s="99">
        <f>SUM($D$7:D36)</f>
        <v>0.94802867383512546</v>
      </c>
      <c r="F36" s="98">
        <f t="shared" si="0"/>
        <v>1</v>
      </c>
      <c r="I36" s="94">
        <v>30</v>
      </c>
      <c r="J36" s="94" t="str">
        <f>IFERROR(INDEX(A7:A37,MATCH(LARGE(O7:O37,30),O7:O37,0)),"–")</f>
        <v>PELS</v>
      </c>
      <c r="K36" s="94" t="str">
        <f>IFERROR(INDEX(B7:B37,MATCH(LARGE(O7:O37,30),O7:O37,0)),"–")</f>
        <v>Expirované lepidlo na spaceru</v>
      </c>
      <c r="L36" s="94">
        <f>IFERROR(INDEX(C7:C37,MATCH(LARGE(O7:O37,30),O7:O37,0)),0)</f>
        <v>0</v>
      </c>
      <c r="M36" s="95">
        <f>IFERROR(L36/C38,0)</f>
        <v>0</v>
      </c>
      <c r="N36" s="95">
        <f>SUM($M$7:M36)</f>
        <v>0.99999999999999978</v>
      </c>
      <c r="O36" s="92">
        <f t="shared" si="1"/>
        <v>129.99964</v>
      </c>
    </row>
    <row r="37" spans="1:15" ht="15" customHeight="1" x14ac:dyDescent="0.25">
      <c r="A37" s="96" t="s">
        <v>49</v>
      </c>
      <c r="B37" s="96" t="s">
        <v>99</v>
      </c>
      <c r="C37" s="96">
        <f>SUMPRODUCT(('Posouzení SKLAD'!AW6:AW205&lt;&gt;"")*('Posouzení SKLAD'!A6:A205&lt;&gt;"")*IF($B$2="Vše",1,'Posouzení SKLAD'!AX6:AX205=MATCH($B$2,{"Leden","Únor","Březen","Duben","Květen","Červen","Červenec","Srpen","Září","Říjen","Listopad","Prosinec"},0))*IF($B$3="Vše",1,'Posouzení SKLAD'!AY6:AY205=VALUE($B$3)))</f>
        <v>29</v>
      </c>
      <c r="D37" s="97">
        <f>IF(C38&gt;0,C37/C38,0)</f>
        <v>5.197132616487455E-2</v>
      </c>
      <c r="E37" s="97">
        <f>SUM($D$7:D37)</f>
        <v>1</v>
      </c>
      <c r="F37" s="96">
        <f t="shared" si="0"/>
        <v>7</v>
      </c>
      <c r="I37" s="90">
        <v>31</v>
      </c>
      <c r="J37" s="90" t="str">
        <f>IFERROR(INDEX(A7:A37,MATCH(LARGE(O7:O37,31),O7:O37,0)),"–")</f>
        <v>PSGL</v>
      </c>
      <c r="K37" s="90" t="str">
        <f>IFERROR(INDEX(B7:B37,MATCH(LARGE(O7:O37,31),O7:O37,0)),"–")</f>
        <v>Špatná gramáž lepidla</v>
      </c>
      <c r="L37" s="90">
        <f>IFERROR(INDEX(C7:C37,MATCH(LARGE(O7:O37,31),O7:O37,0)),0)</f>
        <v>0</v>
      </c>
      <c r="M37" s="91">
        <f>IFERROR(L37/C38,0)</f>
        <v>0</v>
      </c>
      <c r="N37" s="91">
        <f>SUM($M$7:M37)</f>
        <v>0.99999999999999978</v>
      </c>
      <c r="O37" s="92">
        <f t="shared" si="1"/>
        <v>29.99963</v>
      </c>
    </row>
    <row r="38" spans="1:15" ht="15" customHeight="1" x14ac:dyDescent="0.25">
      <c r="A38" s="6" t="s">
        <v>381</v>
      </c>
      <c r="B38" s="6"/>
      <c r="C38" s="6">
        <f>SUM(C7:C37)</f>
        <v>558</v>
      </c>
      <c r="L38" s="100">
        <f>SUM(L7:L37)</f>
        <v>558</v>
      </c>
    </row>
  </sheetData>
  <mergeCells count="3">
    <mergeCell ref="A1:H1"/>
    <mergeCell ref="B2:D2"/>
    <mergeCell ref="B3:D3"/>
  </mergeCells>
  <dataValidations count="2">
    <dataValidation type="list" sqref="B2" xr:uid="{00000000-0002-0000-0400-000000000000}">
      <formula1>"Vše,Leden,Únor,Březen,Duben,Květen,Červen,Červenec,Srpen,Září,Říjen,Listopad,Prosinec"</formula1>
      <formula2>0</formula2>
    </dataValidation>
    <dataValidation type="list" sqref="B3" xr:uid="{00000000-0002-0000-0400-000001000000}">
      <formula1>"Vše,2024,2025,2026,2027,2028"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Posouzení PREFIX</vt:lpstr>
      <vt:lpstr>Posouzení SKLAD</vt:lpstr>
      <vt:lpstr>Sklad - na rework</vt:lpstr>
      <vt:lpstr>Pareto PREFIX</vt:lpstr>
      <vt:lpstr>Pareto SKLAD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Viacheslav Popov (Plana nad luznici,CZ)</cp:lastModifiedBy>
  <cp:revision>17</cp:revision>
  <dcterms:created xsi:type="dcterms:W3CDTF">2026-05-31T17:48:02Z</dcterms:created>
  <dcterms:modified xsi:type="dcterms:W3CDTF">2026-09-07T13:55:52Z</dcterms:modified>
  <dc:language>en-US</dc:language>
</cp:coreProperties>
</file>